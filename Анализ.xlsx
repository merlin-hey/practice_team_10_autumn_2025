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karina\Desktop\"/>
    </mc:Choice>
  </mc:AlternateContent>
  <bookViews>
    <workbookView xWindow="-108" yWindow="-108" windowWidth="23256" windowHeight="12576" activeTab="2"/>
  </bookViews>
  <sheets>
    <sheet name="Анализ" sheetId="4" r:id="rId1"/>
    <sheet name="Сравнение компаний по ценам " sheetId="5" r:id="rId2"/>
    <sheet name="Вариант1" sheetId="3" r:id="rId3"/>
  </sheets>
  <calcPr calcId="162913"/>
  <pivotCaches>
    <pivotCache cacheId="13" r:id="rId4"/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F11" i="3" l="1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10" i="3" l="1"/>
  <c r="F9" i="3"/>
  <c r="F8" i="3"/>
  <c r="F7" i="3"/>
  <c r="F6" i="3"/>
  <c r="F5" i="3"/>
  <c r="F4" i="3"/>
  <c r="F3" i="3"/>
  <c r="F2" i="3"/>
</calcChain>
</file>

<file path=xl/sharedStrings.xml><?xml version="1.0" encoding="utf-8"?>
<sst xmlns="http://schemas.openxmlformats.org/spreadsheetml/2006/main" count="1056" uniqueCount="144">
  <si>
    <t>Год</t>
  </si>
  <si>
    <t>Продукция</t>
  </si>
  <si>
    <t>Цена, руб</t>
  </si>
  <si>
    <t>Количество, шт</t>
  </si>
  <si>
    <t>Выручка, руб</t>
  </si>
  <si>
    <t>Древесноволокнистая плита, шлифованная, 16 мм</t>
  </si>
  <si>
    <t>Древесноволокнистая плита, шлифованная, 18 мм</t>
  </si>
  <si>
    <t>Древесноволокнистая плита, ламинированная "Дуб", 16 мм</t>
  </si>
  <si>
    <t>Древесноволокнистая плита, ламинированная "Белый", 16 мм</t>
  </si>
  <si>
    <t>Древесноволокнистая плита, крашенная белая, 19 мм</t>
  </si>
  <si>
    <t>Древесноволокнистая плита, влагостойкая, 18 мм</t>
  </si>
  <si>
    <t>Древесноволокнистая плита, фигурная фасадная, 19 мм</t>
  </si>
  <si>
    <t>МДФ</t>
  </si>
  <si>
    <t>Аргус-Волга</t>
  </si>
  <si>
    <t>Брус клееный 100x100 мм</t>
  </si>
  <si>
    <t>Доска строганная 50x150x6000 мм</t>
  </si>
  <si>
    <t>Оцилиндрованное бревно 240 мм</t>
  </si>
  <si>
    <t>Имитация бруса 21x146 мм</t>
  </si>
  <si>
    <t>Вагонка Штиль 12,5x96 мм</t>
  </si>
  <si>
    <t>Блок-Хаус 36x190 мм</t>
  </si>
  <si>
    <t>Мебельный щит из сосны 40x600x1200 мм</t>
  </si>
  <si>
    <t>Онежский компбинат</t>
  </si>
  <si>
    <t>Брус сухой строганный 100x100x6000 мм</t>
  </si>
  <si>
    <t>Брус сухой строганный 150x150x6000 мм</t>
  </si>
  <si>
    <t>Доска сухая строганная 50x150x6000 мм</t>
  </si>
  <si>
    <t>Доска сухая строганная 25x150x6000 мм</t>
  </si>
  <si>
    <t>Террасная доска из лиственницы 27x145 мм</t>
  </si>
  <si>
    <t>Планкен фасадный из лиственницы 20x70 мм</t>
  </si>
  <si>
    <t>Вагонка евро 12.5x96 мм</t>
  </si>
  <si>
    <t>Блок-Хаус 28x190 мм</t>
  </si>
  <si>
    <t>Доска пола шпунтованная 36x135 мм</t>
  </si>
  <si>
    <t>Мебельный щит 40x600x1200 мм</t>
  </si>
  <si>
    <t>Рейка обрешетки 30x50 мм</t>
  </si>
  <si>
    <t>Сокольский комбинат</t>
  </si>
  <si>
    <t>Брус клееный 100x100x6000 мм</t>
  </si>
  <si>
    <t>Брус клееный 150x150x6000 мм</t>
  </si>
  <si>
    <t>Домокомплект "Дачный" (каркас)</t>
  </si>
  <si>
    <t>Домокомплект "Баня" (сруб)</t>
  </si>
  <si>
    <t>Балка клееная 100x200x6000 мм</t>
  </si>
  <si>
    <t>Оконный брус клееный</t>
  </si>
  <si>
    <t>Домокомплект "Гостевой дом"</t>
  </si>
  <si>
    <t>Стропильная система (КДК)</t>
  </si>
  <si>
    <t>Панель стеновая СИП</t>
  </si>
  <si>
    <t>Террасная доска 45x145 мм</t>
  </si>
  <si>
    <t>Арка клееная (КДК)</t>
  </si>
  <si>
    <t>Лестница деревянная (КДК)</t>
  </si>
  <si>
    <t>Колонна декоративная (КДК)</t>
  </si>
  <si>
    <t>Ферма клееная 12м (КДК)</t>
  </si>
  <si>
    <t>Илим</t>
  </si>
  <si>
    <t>Целлюлоза беленая хвойная</t>
  </si>
  <si>
    <t>Целлюлоза беленая лиственная</t>
  </si>
  <si>
    <t>Картон гофрированный</t>
  </si>
  <si>
    <t>Бумага газетная</t>
  </si>
  <si>
    <t>Бумага офсетная</t>
  </si>
  <si>
    <t>Древесная масса</t>
  </si>
  <si>
    <t>Гофротара (ящики)</t>
  </si>
  <si>
    <t>Целлюлоза сульфатная небеленая</t>
  </si>
  <si>
    <t>Упаковка картонная потребительская</t>
  </si>
  <si>
    <t>Бумага мелованная</t>
  </si>
  <si>
    <t>Крафт-лайнер</t>
  </si>
  <si>
    <t>Целлюлоза техническая</t>
  </si>
  <si>
    <t>Енисей</t>
  </si>
  <si>
    <t>Доска калиброванная 50/45/40/35/30/21/18 х 190/140/120/95 мм.</t>
  </si>
  <si>
    <t>Доска пола 45 х 135 мм.</t>
  </si>
  <si>
    <t>Доска пола 36 х 135/115 мм.</t>
  </si>
  <si>
    <t>Доска пола 28 х 135/115 мм.</t>
  </si>
  <si>
    <t>Доска пола 21 х 115/90 мм.</t>
  </si>
  <si>
    <t>Брус сухой строганный 100х100 / 100х150 / 150х150 мм.</t>
  </si>
  <si>
    <t>Брус сухой строганный 100х200 / 150х200 мм.</t>
  </si>
  <si>
    <t>Блок-Хаус 36/28 х 185/135 мм.</t>
  </si>
  <si>
    <t>Имитация бруса 21 х 135 мм.</t>
  </si>
  <si>
    <t>Имитация бруса 21 х 185 мм.</t>
  </si>
  <si>
    <t>Имитация бруса 19 х 160 мм.</t>
  </si>
  <si>
    <t>Имитация бруса 16 х 135 мм.</t>
  </si>
  <si>
    <t>Вагонка 20 х 90 мм.</t>
  </si>
  <si>
    <t>Вагонка Штиль 12,5 х 110/90 мм.</t>
  </si>
  <si>
    <t>Евровагонка 12,5 х 90 мм.</t>
  </si>
  <si>
    <t>Н.М комбинат</t>
  </si>
  <si>
    <t>Блоки оконные из профиля ПВХ* Wintech Termotech 752 (класс А) цвет белый заполнение - двухкамерный энергосберегающий стеклопакет фурнитура поворотная и поворотно- откидная Elementis/TTS/ACCADO</t>
  </si>
  <si>
    <t>Монтажные работы</t>
  </si>
  <si>
    <t>Блоки оконные из профиля ПВХ* Wintech Termotech 752 (класс А) с односторонней наружней ламинацией заполнение - двухкамерный энергосберегающий стеклопакет фурнитура поворотная и поворотно-откидная Elementis/TTS/ACCADO</t>
  </si>
  <si>
    <t>Витражи остекления лоджий из алюминиевого профиля MasTTech 22 RAL по проекту открывание раздвижное заполнение - листовое стекло стемалит в комплекте с решетками ограждения из алюминиевого профиля</t>
  </si>
  <si>
    <t>Блоки оконные из алюминиевого профиля "теплого" типа (с терморазрывом) MasTTech 67 RAL по проекту заполнение - двухкамерный энергосберегающий стеклопакет фурнитура поворотная и поворотно-откидная Giesse/Fapim</t>
  </si>
  <si>
    <t>Блоки дверные из алюминиевого профиля "теплого" типа (с терморазрывом) MasTTech 67 RAL по проекту заполнение - двухкамерный энергосберегающий стеклопакет фурнитура поворотная Giesse/Fapim</t>
  </si>
  <si>
    <t>Витражи остекления внутренние из алюминиевого профиля MasTTech 67 RAL no проекту заполнение - однокамерный стеклопакет фурнитура поворотная и поворотно- откидная Giesse/Fapim</t>
  </si>
  <si>
    <t>Витражи остекления внешние из алюминиевого профиля стоечно-ригельной системы (с терморазрывом) RAL по проекту заполнение - двухкамерный стеклопакет фурнитура поворотная и поворотно-откидная Giesse/Fapim</t>
  </si>
  <si>
    <t>Блоки дверные межкомнатные царговые* телескопического типа с подготовкой под сборку Дверное полотно глухое/остекленное дверная коробка (толщиной не менее 32 мм) наличник телескопический с 2-х сторон отделка - антивандальный ЭКО шпон с защитным лаком цвет по проекту комплект фурнитуры: петли ручки и ручки-защелки с фиксатором напольный ограничитель открывания</t>
  </si>
  <si>
    <t>Доставка продукции г.Н.Новгород-г. Мосвка/Московская обл.</t>
  </si>
  <si>
    <t>Брус стеновой профилированный ширина 120 240мм высота 140 200мм с зарезкой согласно проекту сосна/ель</t>
  </si>
  <si>
    <t>Брус конструкционный прямолинейный ширина 100 200мм высота до 1950 мм сосна/ель</t>
  </si>
  <si>
    <t>Брус конструкционный криволинейный ширина 100 200мм высота до 1950 мм сосна/ель</t>
  </si>
  <si>
    <t>ВЛПХ</t>
  </si>
  <si>
    <t>Имитация бруса</t>
  </si>
  <si>
    <t>Сканд. фасадная доска</t>
  </si>
  <si>
    <t>Евровагонка</t>
  </si>
  <si>
    <t>Вагонка Штиль</t>
  </si>
  <si>
    <t>Вагонка Профлайн</t>
  </si>
  <si>
    <t>Блок хаус</t>
  </si>
  <si>
    <t>Доска пола</t>
  </si>
  <si>
    <t>Террасная доска</t>
  </si>
  <si>
    <t>Планкен</t>
  </si>
  <si>
    <t>Доска сухая строганая</t>
  </si>
  <si>
    <t>Доска сухая обрезная</t>
  </si>
  <si>
    <t>Брус е/влажн</t>
  </si>
  <si>
    <t>Брус клееный гладкий</t>
  </si>
  <si>
    <t>Брусок/рейка</t>
  </si>
  <si>
    <t>ОСП плита (OSB-3)</t>
  </si>
  <si>
    <t>Мебельный щит хвоя</t>
  </si>
  <si>
    <t>Брикеты топливные</t>
  </si>
  <si>
    <t>ИвДревПлит</t>
  </si>
  <si>
    <t>Фанера 1/2 Ш2</t>
  </si>
  <si>
    <t>Фанера 2/2 Ш2</t>
  </si>
  <si>
    <t>Фанера 2/3 Ш2</t>
  </si>
  <si>
    <t>Фанера 2/4 Ш2</t>
  </si>
  <si>
    <t>Фанера 3/3 Ш2</t>
  </si>
  <si>
    <t>Фанера 3/4 Ш2</t>
  </si>
  <si>
    <t>Фанера 4/4 НШ</t>
  </si>
  <si>
    <t>Лестех</t>
  </si>
  <si>
    <t>Отходы лесопиления (от бруса)</t>
  </si>
  <si>
    <t>Пиломатериал хвойный, обрезной, ГОСТ 8486-86, влаж. естественная, 21-60</t>
  </si>
  <si>
    <t>Отходы лесопиления, участка лесопиления, (дровяная доска)</t>
  </si>
  <si>
    <t>Пиломатериал хвойный, обрезной, ГОСТ 26002-83, влаж. транспортная, 20+-2% (по заказу)</t>
  </si>
  <si>
    <t>Отходы лесопиления (отторцовка от доски)</t>
  </si>
  <si>
    <t>Пиломатериал хвойный, обрезной, ГОСТ 8486-86, влаж. естественная, 21-28мм (поддонная доска)</t>
  </si>
  <si>
    <t>Отходы с линии сортировки</t>
  </si>
  <si>
    <t>Пиломатериал хвойный ест. влаж. 21-60мм (торцы)</t>
  </si>
  <si>
    <t>Компания</t>
  </si>
  <si>
    <t>Годовая выручка, руб</t>
  </si>
  <si>
    <t>Годовая прибыль, руб.</t>
  </si>
  <si>
    <t>Названия строк</t>
  </si>
  <si>
    <t>(пусто)</t>
  </si>
  <si>
    <t>Общий итог</t>
  </si>
  <si>
    <t>Названия столбцов</t>
  </si>
  <si>
    <t>Количество по полю Выручка, руб</t>
  </si>
  <si>
    <t>Сумма по полю Выручка, руб</t>
  </si>
  <si>
    <t>Итог Сумма по полю Выручка, руб</t>
  </si>
  <si>
    <t>Итог Сумма по полю Количество, шт</t>
  </si>
  <si>
    <t>Сумма по полю Количество, шт</t>
  </si>
  <si>
    <t>Среднее по полю Цена, руб</t>
  </si>
  <si>
    <t>Сумма по полю Годовая выручка, руб</t>
  </si>
  <si>
    <t>Динамика годовой выручки</t>
  </si>
  <si>
    <t>Динамика выручки по годам</t>
  </si>
  <si>
    <t>Сумма по полю Годовая прибыль, руб.</t>
  </si>
  <si>
    <t>Динамика годовой прибыли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</si>
</sst>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charset val="204"/>
      <scheme val="minor"/>
    </font>
    <font>
      <b/>
      <sz val="12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2" fontId="0" fillId="0" borderId="0" xfId="0" applyNumberFormat="1"/>
    <xf numFmtId="0" fontId="3" fillId="0" borderId="0" xfId="0" applyFont="1"/>
    <xf numFmtId="1" fontId="1" fillId="0" borderId="0" xfId="0" applyNumberFormat="1" applyFont="1"/>
  </cellXfs>
  <cellStyles count="1">
    <cellStyle name="Обычный" xfId="0" builtinId="0"/>
  </cellStyles>
  <dxfs count="2">
    <dxf>
      <numFmt numFmtId="2" formatCode="0.00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[Анализ.xlsx]Анализ!Сводная таблица2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</a:t>
            </a:r>
            <a:r>
              <a:rPr lang="ru-RU" baseline="0"/>
              <a:t> выручки по годам</a:t>
            </a:r>
            <a:endParaRPr lang="en-US"/>
          </a:p>
        </c:rich>
      </c:tx>
      <c:layout>
        <c:manualLayout>
          <c:xMode val="edge"/>
          <c:yMode val="edge"/>
          <c:x val="0.25434011373578302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Анализ!$B$19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Анализ!$A$20:$A$24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(пусто)</c:v>
                </c:pt>
              </c:strCache>
            </c:strRef>
          </c:cat>
          <c:val>
            <c:numRef>
              <c:f>Анализ!$B$20:$B$24</c:f>
              <c:numCache>
                <c:formatCode>General</c:formatCode>
                <c:ptCount val="4"/>
                <c:pt idx="0">
                  <c:v>129</c:v>
                </c:pt>
                <c:pt idx="1">
                  <c:v>129</c:v>
                </c:pt>
                <c:pt idx="2">
                  <c:v>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D5-4670-B484-7D19C7B23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5512824"/>
        <c:axId val="385511840"/>
        <c:axId val="0"/>
      </c:bar3DChart>
      <c:catAx>
        <c:axId val="385512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5511840"/>
        <c:crosses val="autoZero"/>
        <c:auto val="1"/>
        <c:lblAlgn val="ctr"/>
        <c:lblOffset val="100"/>
        <c:noMultiLvlLbl val="0"/>
      </c:catAx>
      <c:valAx>
        <c:axId val="38551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5512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[Анализ.xlsx]Анализ!Сводная таблица6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</a:t>
            </a:r>
            <a:r>
              <a:rPr lang="ru-RU" baseline="0"/>
              <a:t> годовой выручки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Анализ!$B$27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Анализ!$A$28:$A$32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(пусто)</c:v>
                </c:pt>
              </c:strCache>
            </c:strRef>
          </c:cat>
          <c:val>
            <c:numRef>
              <c:f>Анализ!$B$28:$B$32</c:f>
              <c:numCache>
                <c:formatCode>General</c:formatCode>
                <c:ptCount val="4"/>
                <c:pt idx="0">
                  <c:v>2423122786000</c:v>
                </c:pt>
                <c:pt idx="1">
                  <c:v>2443496934000</c:v>
                </c:pt>
                <c:pt idx="2">
                  <c:v>2766996321000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31-48C5-A202-2B172E425D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88098504"/>
        <c:axId val="388098832"/>
        <c:axId val="0"/>
      </c:bar3DChart>
      <c:catAx>
        <c:axId val="388098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8098832"/>
        <c:crosses val="autoZero"/>
        <c:auto val="1"/>
        <c:lblAlgn val="ctr"/>
        <c:lblOffset val="100"/>
        <c:noMultiLvlLbl val="0"/>
      </c:catAx>
      <c:valAx>
        <c:axId val="388098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88098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[Анализ.xlsx]Анализ!Сводная таблица7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Динамика</a:t>
            </a:r>
            <a:r>
              <a:rPr lang="ru-RU" baseline="0"/>
              <a:t> годовой прибыли</a:t>
            </a:r>
            <a:endParaRPr lang="ru-RU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Анализ!$B$35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Анализ!$A$36:$A$40</c:f>
              <c:strCache>
                <c:ptCount val="4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  <c:pt idx="3">
                  <c:v>(пусто)</c:v>
                </c:pt>
              </c:strCache>
            </c:strRef>
          </c:cat>
          <c:val>
            <c:numRef>
              <c:f>Анализ!$B$36:$B$40</c:f>
              <c:numCache>
                <c:formatCode>General</c:formatCode>
                <c:ptCount val="4"/>
                <c:pt idx="0">
                  <c:v>713638309000</c:v>
                </c:pt>
                <c:pt idx="1">
                  <c:v>567350887000</c:v>
                </c:pt>
                <c:pt idx="2">
                  <c:v>610527138000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42-4D63-A708-BB6C2F7A6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58097984"/>
        <c:axId val="458098640"/>
        <c:axId val="0"/>
      </c:bar3DChart>
      <c:catAx>
        <c:axId val="458097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8098640"/>
        <c:crosses val="autoZero"/>
        <c:auto val="1"/>
        <c:lblAlgn val="ctr"/>
        <c:lblOffset val="100"/>
        <c:noMultiLvlLbl val="0"/>
      </c:catAx>
      <c:valAx>
        <c:axId val="45809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458097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491672</xdr:colOff>
      <xdr:row>18</xdr:row>
      <xdr:rowOff>907</xdr:rowOff>
    </xdr:from>
    <xdr:to>
      <xdr:col>4</xdr:col>
      <xdr:colOff>440746</xdr:colOff>
      <xdr:row>30</xdr:row>
      <xdr:rowOff>8133</xdr:rowOff>
    </xdr:to>
    <xdr:graphicFrame macro="">
      <xdr:nvGraphicFramePr>
        <xdr:cNvPr id="2" name="Диаграмма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621549</xdr:colOff>
      <xdr:row>17</xdr:row>
      <xdr:rowOff>175173</xdr:rowOff>
    </xdr:from>
    <xdr:to>
      <xdr:col>6</xdr:col>
      <xdr:colOff>717895</xdr:colOff>
      <xdr:row>29</xdr:row>
      <xdr:rowOff>175173</xdr:rowOff>
    </xdr:to>
    <xdr:graphicFrame macro="">
      <xdr:nvGraphicFramePr>
        <xdr:cNvPr id="3" name="Диаграмма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871313</xdr:colOff>
      <xdr:row>17</xdr:row>
      <xdr:rowOff>178129</xdr:rowOff>
    </xdr:from>
    <xdr:to>
      <xdr:col>8</xdr:col>
      <xdr:colOff>773547</xdr:colOff>
      <xdr:row>29</xdr:row>
      <xdr:rowOff>148441</xdr:rowOff>
    </xdr:to>
    <xdr:graphicFrame macro="">
      <xdr:nvGraphicFramePr>
        <xdr:cNvPr id="4" name="Диаграмма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arina" refreshedDate="45975.886403240744" createdVersion="6" refreshedVersion="6" minRefreshableVersion="3" recordCount="391">
  <cacheSource type="worksheet">
    <worksheetSource ref="A1:H1048576" sheet="Вариант1"/>
  </cacheSource>
  <cacheFields count="8">
    <cacheField name="Компания" numFmtId="0">
      <sharedItems containsBlank="1" count="11">
        <s v="МДФ"/>
        <s v="Аргус-Волга"/>
        <s v="Онежский компбинат"/>
        <s v="Сокольский комбинат"/>
        <s v="Илим"/>
        <s v="Енисей"/>
        <s v="Н.М комбинат"/>
        <s v="ВЛПХ"/>
        <s v="ИвДревПлит"/>
        <s v="Лестех"/>
        <m/>
      </sharedItems>
    </cacheField>
    <cacheField name="Год" numFmtId="0">
      <sharedItems containsString="0" containsBlank="1" containsNumber="1" containsInteger="1" minValue="2022" maxValue="2024" count="4">
        <n v="2022"/>
        <n v="2023"/>
        <n v="2024"/>
        <m/>
      </sharedItems>
    </cacheField>
    <cacheField name="Продукция" numFmtId="0">
      <sharedItems containsBlank="1" count="112" longText="1">
        <s v="Древесноволокнистая плита, шлифованная, 16 мм"/>
        <s v="Древесноволокнистая плита, шлифованная, 18 мм"/>
        <s v="Древесноволокнистая плита, ламинированная &quot;Дуб&quot;, 16 мм"/>
        <s v="Древесноволокнистая плита, ламинированная &quot;Белый&quot;, 16 мм"/>
        <s v="Древесноволокнистая плита, крашенная белая, 19 мм"/>
        <s v="Древесноволокнистая плита, влагостойкая, 18 мм"/>
        <s v="Древесноволокнистая плита, фигурная фасадная, 19 мм"/>
        <s v="Брус клееный 100x100 мм"/>
        <s v="Доска строганная 50x150x6000 мм"/>
        <s v="Оцилиндрованное бревно 240 мм"/>
        <s v="Имитация бруса 21x146 мм"/>
        <s v="Вагонка Штиль 12,5x96 мм"/>
        <s v="Блок-Хаус 36x190 мм"/>
        <s v="Мебельный щит из сосны 40x600x1200 мм"/>
        <s v="Брус сухой строганный 100x100x6000 мм"/>
        <s v="Брус сухой строганный 150x150x6000 мм"/>
        <s v="Доска сухая строганная 50x150x6000 мм"/>
        <s v="Доска сухая строганная 25x150x6000 мм"/>
        <s v="Террасная доска из лиственницы 27x145 мм"/>
        <s v="Планкен фасадный из лиственницы 20x70 мм"/>
        <s v="Вагонка евро 12.5x96 мм"/>
        <s v="Блок-Хаус 28x190 мм"/>
        <s v="Доска пола шпунтованная 36x135 мм"/>
        <s v="Мебельный щит 40x600x1200 мм"/>
        <s v="Рейка обрешетки 30x50 мм"/>
        <s v="Брус клееный 100x100x6000 мм"/>
        <s v="Брус клееный 150x150x6000 мм"/>
        <s v="Домокомплект &quot;Дачный&quot; (каркас)"/>
        <s v="Домокомплект &quot;Баня&quot; (сруб)"/>
        <s v="Балка клееная 100x200x6000 мм"/>
        <s v="Оконный брус клееный"/>
        <s v="Домокомплект &quot;Гостевой дом&quot;"/>
        <s v="Стропильная система (КДК)"/>
        <s v="Панель стеновая СИП"/>
        <s v="Террасная доска 45x145 мм"/>
        <s v="Арка клееная (КДК)"/>
        <s v="Лестница деревянная (КДК)"/>
        <s v="Колонна декоративная (КДК)"/>
        <s v="Ферма клееная 12м (КДК)"/>
        <s v="Целлюлоза беленая хвойная"/>
        <s v="Целлюлоза беленая лиственная"/>
        <s v="Картон гофрированный"/>
        <s v="Бумага газетная"/>
        <s v="Бумага офсетная"/>
        <s v="Древесная масса"/>
        <s v="Гофротара (ящики)"/>
        <s v="Целлюлоза сульфатная небеленая"/>
        <s v="Упаковка картонная потребительская"/>
        <s v="Бумага мелованная"/>
        <s v="Крафт-лайнер"/>
        <s v="Целлюлоза техническая"/>
        <s v="Доска калиброванная 50/45/40/35/30/21/18 х 190/140/120/95 мм."/>
        <s v="Доска пола 45 х 135 мм."/>
        <s v="Доска пола 36 х 135/115 мм."/>
        <s v="Доска пола 28 х 135/115 мм."/>
        <s v="Доска пола 21 х 115/90 мм."/>
        <s v="Брус сухой строганный 100х100 / 100х150 / 150х150 мм."/>
        <s v="Брус сухой строганный 100х200 / 150х200 мм."/>
        <s v="Блок-Хаус 36/28 х 185/135 мм."/>
        <s v="Имитация бруса 21 х 135 мм."/>
        <s v="Имитация бруса 21 х 185 мм."/>
        <s v="Имитация бруса 19 х 160 мм."/>
        <s v="Имитация бруса 16 х 135 мм."/>
        <s v="Вагонка 20 х 90 мм."/>
        <s v="Вагонка Штиль 12,5 х 110/90 мм."/>
        <s v="Евровагонка 12,5 х 90 мм."/>
        <s v="Блоки оконные из профиля ПВХ* Wintech Termotech 752 (класс А) цвет белый заполнение - двухкамерный энергосберегающий стеклопакет фурнитура поворотная и поворотно- откидная Elementis/TTS/ACCADO"/>
        <s v="Монтажные работы"/>
        <s v="Блоки оконные из профиля ПВХ* Wintech Termotech 752 (класс А) с односторонней наружней ламинацией заполнение - двухкамерный энергосберегающий стеклопакет фурнитура поворотная и поворотно-откидная Elementis/TTS/ACCADO"/>
        <s v="Витражи остекления лоджий из алюминиевого профиля MasTTech 22 RAL по проекту открывание раздвижное заполнение - листовое стекло стемалит в комплекте с решетками ограждения из алюминиевого профиля"/>
        <s v="Блоки оконные из алюминиевого профиля &quot;теплого&quot; типа (с терморазрывом) MasTTech 67 RAL по проекту заполнение - двухкамерный энергосберегающий стеклопакет фурнитура поворотная и поворотно-откидная Giesse/Fapim"/>
        <s v="Блоки дверные из алюминиевого профиля &quot;теплого&quot; типа (с терморазрывом) MasTTech 67 RAL по проекту заполнение - двухкамерный энергосберегающий стеклопакет фурнитура поворотная Giesse/Fapim"/>
        <s v="Витражи остекления внутренние из алюминиевого профиля MasTTech 67 RAL no проекту заполнение - однокамерный стеклопакет фурнитура поворотная и поворотно- откидная Giesse/Fapim"/>
        <s v="Витражи остекления внешние из алюминиевого профиля стоечно-ригельной системы (с терморазрывом) RAL по проекту заполнение - двухкамерный стеклопакет фурнитура поворотная и поворотно-откидная Giesse/Fapim"/>
        <s v="Блоки дверные межкомнатные царговые* телескопического типа с подготовкой под сборку Дверное полотно глухое/остекленное дверная коробка (толщиной не менее 32 мм) наличник телескопический с 2-х сторон отделка - антивандальный ЭКО шпон с защитным лаком цвет по проекту комплект фурнитуры: петли ручки и ручки-защелки с фиксатором напольный ограничитель открывания"/>
        <s v="Доставка продукции г.Н.Новгород-г. Мосвка/Московская обл."/>
        <s v="Брус стеновой профилированный ширина 120 240мм высота 140 200мм с зарезкой согласно проекту сосна/ель"/>
        <s v="Брус конструкционный прямолинейный ширина 100 200мм высота до 1950 мм сосна/ель"/>
        <s v="Брус конструкционный криволинейный ширина 100 200мм высота до 1950 мм сосна/ель"/>
        <s v="Имитация бруса"/>
        <s v="Сканд. фасадная доска"/>
        <s v="Евровагонка"/>
        <s v="Вагонка Штиль"/>
        <s v="Вагонка Профлайн"/>
        <s v="Блок хаус"/>
        <s v="Доска пола"/>
        <s v="Террасная доска"/>
        <s v="Планкен"/>
        <s v="Доска сухая строганая"/>
        <s v="Доска сухая обрезная"/>
        <s v="Брус е/влажн"/>
        <s v="Брус клееный гладкий"/>
        <s v="Брусок/рейка"/>
        <s v="ОСП плита (OSB-3)"/>
        <s v="Мебельный щит хвоя"/>
        <s v="Брикеты топливные"/>
        <s v="Фанера 1/2 Ш2"/>
        <s v="Фанера 2/2 Ш2"/>
        <s v="Фанера 2/3 Ш2"/>
        <s v="Фанера 2/4 Ш2"/>
        <s v="Фанера 3/3 Ш2"/>
        <s v="Фанера 3/4 Ш2"/>
        <s v="Фанера 4/4 НШ"/>
        <s v="Отходы лесопиления (от бруса)"/>
        <s v="Пиломатериал хвойный, обрезной, ГОСТ 8486-86, влаж. естественная, 21-60"/>
        <s v="Отходы лесопиления, участка лесопиления, (дровяная доска)"/>
        <s v="Пиломатериал хвойный, обрезной, ГОСТ 26002-83, влаж. транспортная, 20+-2% (по заказу)"/>
        <s v="Отходы лесопиления (отторцовка от доски)"/>
        <s v="Пиломатериал хвойный, обрезной, ГОСТ 8486-86, влаж. естественная, 21-28мм (поддонная доска)"/>
        <s v="Отходы с линии сортировки"/>
        <s v="Пиломатериал хвойный ест. влаж. 21-60мм (торцы)"/>
        <m/>
      </sharedItems>
    </cacheField>
    <cacheField name="Цена, руб" numFmtId="0">
      <sharedItems containsString="0" containsBlank="1" containsNumber="1" containsInteger="1" minValue="250" maxValue="1320000"/>
    </cacheField>
    <cacheField name="Количество, шт" numFmtId="0">
      <sharedItems containsString="0" containsBlank="1" containsNumber="1" containsInteger="1" minValue="0" maxValue="686333"/>
    </cacheField>
    <cacheField name="Выручка, руб" numFmtId="0">
      <sharedItems containsString="0" containsBlank="1" containsNumber="1" containsInteger="1" minValue="0" maxValue="59710971000"/>
    </cacheField>
    <cacheField name="Годовая выручка, руб" numFmtId="0">
      <sharedItems containsString="0" containsBlank="1" containsNumber="1" containsInteger="1" minValue="1030000" maxValue="207084881000"/>
    </cacheField>
    <cacheField name="Годовая прибыль, руб." numFmtId="0">
      <sharedItems containsString="0" containsBlank="1" containsNumber="1" containsInteger="1" minValue="-172000" maxValue="57784864000" count="31">
        <n v="202576000"/>
        <n v="681559000"/>
        <n v="717073000"/>
        <n v="103569000"/>
        <n v="133969000"/>
        <n v="78763000"/>
        <n v="431400000"/>
        <n v="544435000"/>
        <n v="441191000"/>
        <n v="185620000"/>
        <n v="544978000"/>
        <n v="222297000"/>
        <n v="57784864000"/>
        <n v="44345327000"/>
        <n v="48865950000"/>
        <n v="226651000"/>
        <n v="705874000"/>
        <n v="490208000"/>
        <n v="31720000"/>
        <n v="117326000"/>
        <n v="3286000"/>
        <n v="324784000"/>
        <n v="11958000"/>
        <n v="106833000"/>
        <n v="373000"/>
        <n v="963000"/>
        <n v="1027000"/>
        <n v="-172000"/>
        <n v="626000"/>
        <n v="26120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karina" refreshedDate="45975.889649884259" createdVersion="6" refreshedVersion="6" minRefreshableVersion="3" recordCount="391">
  <cacheSource type="worksheet">
    <worksheetSource ref="B1:H1048576" sheet="Вариант1"/>
  </cacheSource>
  <cacheFields count="7">
    <cacheField name="Год" numFmtId="0">
      <sharedItems containsString="0" containsBlank="1" containsNumber="1" containsInteger="1" minValue="2022" maxValue="2024" count="4">
        <n v="2022"/>
        <n v="2023"/>
        <n v="2024"/>
        <m/>
      </sharedItems>
    </cacheField>
    <cacheField name="Продукция" numFmtId="0">
      <sharedItems containsBlank="1" longText="1"/>
    </cacheField>
    <cacheField name="Цена, руб" numFmtId="0">
      <sharedItems containsString="0" containsBlank="1" containsNumber="1" containsInteger="1" minValue="250" maxValue="1320000"/>
    </cacheField>
    <cacheField name="Количество, шт" numFmtId="0">
      <sharedItems containsString="0" containsBlank="1" containsNumber="1" containsInteger="1" minValue="0" maxValue="686333"/>
    </cacheField>
    <cacheField name="Выручка, руб" numFmtId="0">
      <sharedItems containsString="0" containsBlank="1" containsNumber="1" containsInteger="1" minValue="0" maxValue="59710971000"/>
    </cacheField>
    <cacheField name="Годовая выручка, руб" numFmtId="0">
      <sharedItems containsString="0" containsBlank="1" containsNumber="1" containsInteger="1" minValue="1030000" maxValue="207084881000"/>
    </cacheField>
    <cacheField name="Годовая прибыль, руб." numFmtId="0">
      <sharedItems containsString="0" containsBlank="1" containsNumber="1" containsInteger="1" minValue="-172000" maxValue="57784864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1">
  <r>
    <x v="0"/>
    <x v="0"/>
    <x v="0"/>
    <n v="4500"/>
    <n v="154047"/>
    <n v="693211500"/>
    <n v="2750148000"/>
    <x v="0"/>
  </r>
  <r>
    <x v="0"/>
    <x v="0"/>
    <x v="1"/>
    <n v="5000"/>
    <n v="109324"/>
    <n v="546620000"/>
    <n v="2750148000"/>
    <x v="0"/>
  </r>
  <r>
    <x v="0"/>
    <x v="0"/>
    <x v="2"/>
    <n v="8000"/>
    <n v="84538"/>
    <n v="676304000"/>
    <n v="2750148000"/>
    <x v="0"/>
  </r>
  <r>
    <x v="0"/>
    <x v="0"/>
    <x v="3"/>
    <n v="8200"/>
    <n v="49693"/>
    <n v="407482600"/>
    <n v="2750148000"/>
    <x v="0"/>
  </r>
  <r>
    <x v="0"/>
    <x v="0"/>
    <x v="4"/>
    <n v="9500"/>
    <n v="27828"/>
    <n v="264366000"/>
    <n v="2750148000"/>
    <x v="0"/>
  </r>
  <r>
    <x v="0"/>
    <x v="0"/>
    <x v="5"/>
    <n v="10000"/>
    <n v="14558"/>
    <n v="145580000"/>
    <n v="2750148000"/>
    <x v="0"/>
  </r>
  <r>
    <x v="0"/>
    <x v="0"/>
    <x v="6"/>
    <n v="12500"/>
    <n v="1326"/>
    <n v="16575000"/>
    <n v="2750148000"/>
    <x v="0"/>
  </r>
  <r>
    <x v="0"/>
    <x v="1"/>
    <x v="0"/>
    <n v="4700"/>
    <n v="83772"/>
    <n v="393728400"/>
    <n v="1466712000"/>
    <x v="1"/>
  </r>
  <r>
    <x v="0"/>
    <x v="1"/>
    <x v="1"/>
    <n v="5200"/>
    <n v="60502"/>
    <n v="314610400"/>
    <n v="1466712000"/>
    <x v="1"/>
  </r>
  <r>
    <x v="0"/>
    <x v="1"/>
    <x v="2"/>
    <n v="8300"/>
    <n v="46540"/>
    <n v="386282000"/>
    <n v="1466712000"/>
    <x v="1"/>
  </r>
  <r>
    <x v="0"/>
    <x v="1"/>
    <x v="3"/>
    <n v="8500"/>
    <n v="23270"/>
    <n v="197795000"/>
    <n v="1466712000"/>
    <x v="1"/>
  </r>
  <r>
    <x v="0"/>
    <x v="1"/>
    <x v="4"/>
    <n v="9800"/>
    <n v="11170"/>
    <n v="109466000"/>
    <n v="1466712000"/>
    <x v="1"/>
  </r>
  <r>
    <x v="0"/>
    <x v="1"/>
    <x v="5"/>
    <n v="10200"/>
    <n v="5167"/>
    <n v="52703400"/>
    <n v="1466712000"/>
    <x v="1"/>
  </r>
  <r>
    <x v="0"/>
    <x v="1"/>
    <x v="6"/>
    <n v="13000"/>
    <n v="931"/>
    <n v="12103000"/>
    <n v="1466712000"/>
    <x v="1"/>
  </r>
  <r>
    <x v="0"/>
    <x v="2"/>
    <x v="0"/>
    <n v="4800"/>
    <n v="72437"/>
    <n v="347697600"/>
    <n v="1156276000"/>
    <x v="2"/>
  </r>
  <r>
    <x v="0"/>
    <x v="2"/>
    <x v="1"/>
    <n v="5300"/>
    <n v="53121"/>
    <n v="281541300"/>
    <n v="1156276000"/>
    <x v="2"/>
  </r>
  <r>
    <x v="0"/>
    <x v="2"/>
    <x v="2"/>
    <n v="8500"/>
    <n v="33804"/>
    <n v="287334000"/>
    <n v="1156276000"/>
    <x v="2"/>
  </r>
  <r>
    <x v="0"/>
    <x v="2"/>
    <x v="3"/>
    <n v="8700"/>
    <n v="14487"/>
    <n v="126036900"/>
    <n v="1156276000"/>
    <x v="2"/>
  </r>
  <r>
    <x v="0"/>
    <x v="2"/>
    <x v="4"/>
    <n v="10000"/>
    <n v="5795"/>
    <n v="57950000"/>
    <n v="1156276000"/>
    <x v="2"/>
  </r>
  <r>
    <x v="0"/>
    <x v="2"/>
    <x v="5"/>
    <n v="10500"/>
    <n v="4394"/>
    <n v="46137000"/>
    <n v="1156276000"/>
    <x v="2"/>
  </r>
  <r>
    <x v="0"/>
    <x v="2"/>
    <x v="6"/>
    <n v="13200"/>
    <n v="724"/>
    <n v="9556800"/>
    <n v="1156276000"/>
    <x v="2"/>
  </r>
  <r>
    <x v="1"/>
    <x v="0"/>
    <x v="7"/>
    <n v="18478"/>
    <n v="11942"/>
    <n v="220664276"/>
    <n v="1155052000"/>
    <x v="3"/>
  </r>
  <r>
    <x v="1"/>
    <x v="0"/>
    <x v="8"/>
    <n v="9788"/>
    <n v="14458"/>
    <n v="141514904"/>
    <n v="1155052000"/>
    <x v="3"/>
  </r>
  <r>
    <x v="1"/>
    <x v="0"/>
    <x v="9"/>
    <n v="11189"/>
    <n v="17121"/>
    <n v="191566869"/>
    <n v="1155052000"/>
    <x v="3"/>
  </r>
  <r>
    <x v="1"/>
    <x v="0"/>
    <x v="10"/>
    <n v="6492"/>
    <n v="30533"/>
    <n v="198220236"/>
    <n v="1155052000"/>
    <x v="3"/>
  </r>
  <r>
    <x v="1"/>
    <x v="0"/>
    <x v="11"/>
    <n v="5193"/>
    <n v="36620"/>
    <n v="190167660"/>
    <n v="1155052000"/>
    <x v="3"/>
  </r>
  <r>
    <x v="1"/>
    <x v="0"/>
    <x v="12"/>
    <n v="8090"/>
    <n v="24065"/>
    <n v="194685850"/>
    <n v="1155052000"/>
    <x v="3"/>
  </r>
  <r>
    <x v="1"/>
    <x v="0"/>
    <x v="13"/>
    <n v="4296"/>
    <n v="4244"/>
    <n v="18232224"/>
    <n v="1155052000"/>
    <x v="3"/>
  </r>
  <r>
    <x v="1"/>
    <x v="1"/>
    <x v="7"/>
    <n v="19200"/>
    <n v="15970"/>
    <n v="306624000"/>
    <n v="1568018000"/>
    <x v="4"/>
  </r>
  <r>
    <x v="1"/>
    <x v="1"/>
    <x v="8"/>
    <n v="10500"/>
    <n v="19899"/>
    <n v="208939500"/>
    <n v="1568018000"/>
    <x v="4"/>
  </r>
  <r>
    <x v="1"/>
    <x v="1"/>
    <x v="9"/>
    <n v="11800"/>
    <n v="22819"/>
    <n v="269264200"/>
    <n v="1568018000"/>
    <x v="4"/>
  </r>
  <r>
    <x v="1"/>
    <x v="1"/>
    <x v="10"/>
    <n v="6900"/>
    <n v="37156"/>
    <n v="256376400"/>
    <n v="1568018000"/>
    <x v="4"/>
  </r>
  <r>
    <x v="1"/>
    <x v="1"/>
    <x v="11"/>
    <n v="5500"/>
    <n v="45999"/>
    <n v="252994500"/>
    <n v="1568018000"/>
    <x v="4"/>
  </r>
  <r>
    <x v="1"/>
    <x v="1"/>
    <x v="12"/>
    <n v="8600"/>
    <n v="28749"/>
    <n v="247241400"/>
    <n v="1568018000"/>
    <x v="4"/>
  </r>
  <r>
    <x v="1"/>
    <x v="1"/>
    <x v="13"/>
    <n v="4600"/>
    <n v="5774"/>
    <n v="26560400"/>
    <n v="1568018000"/>
    <x v="4"/>
  </r>
  <r>
    <x v="1"/>
    <x v="2"/>
    <x v="7"/>
    <n v="20000"/>
    <n v="19365"/>
    <n v="387300000"/>
    <n v="1992795000"/>
    <x v="5"/>
  </r>
  <r>
    <x v="1"/>
    <x v="2"/>
    <x v="8"/>
    <n v="11200"/>
    <n v="24099"/>
    <n v="269908800"/>
    <n v="1992795000"/>
    <x v="5"/>
  </r>
  <r>
    <x v="1"/>
    <x v="2"/>
    <x v="9"/>
    <n v="12500"/>
    <n v="27541"/>
    <n v="344262500"/>
    <n v="1992795000"/>
    <x v="5"/>
  </r>
  <r>
    <x v="1"/>
    <x v="2"/>
    <x v="10"/>
    <n v="7400"/>
    <n v="43034"/>
    <n v="318451600"/>
    <n v="1992795000"/>
    <x v="5"/>
  </r>
  <r>
    <x v="1"/>
    <x v="2"/>
    <x v="11"/>
    <n v="5800"/>
    <n v="55944"/>
    <n v="324475200"/>
    <n v="1992795000"/>
    <x v="5"/>
  </r>
  <r>
    <x v="1"/>
    <x v="2"/>
    <x v="12"/>
    <n v="9100"/>
    <n v="34427"/>
    <n v="313285700"/>
    <n v="1992795000"/>
    <x v="5"/>
  </r>
  <r>
    <x v="1"/>
    <x v="2"/>
    <x v="13"/>
    <n v="4900"/>
    <n v="7164"/>
    <n v="35103600"/>
    <n v="1992795000"/>
    <x v="5"/>
  </r>
  <r>
    <x v="2"/>
    <x v="0"/>
    <x v="14"/>
    <n v="16500"/>
    <n v="35896"/>
    <n v="592284000"/>
    <n v="2946303000"/>
    <x v="6"/>
  </r>
  <r>
    <x v="2"/>
    <x v="0"/>
    <x v="15"/>
    <n v="24000"/>
    <n v="20782"/>
    <n v="498768000"/>
    <n v="2946303000"/>
    <x v="6"/>
  </r>
  <r>
    <x v="2"/>
    <x v="0"/>
    <x v="16"/>
    <n v="11200"/>
    <n v="33062"/>
    <n v="370294400"/>
    <n v="2946303000"/>
    <x v="6"/>
  </r>
  <r>
    <x v="2"/>
    <x v="0"/>
    <x v="17"/>
    <n v="8500"/>
    <n v="40101"/>
    <n v="340858500"/>
    <n v="2946303000"/>
    <x v="6"/>
  </r>
  <r>
    <x v="2"/>
    <x v="0"/>
    <x v="18"/>
    <n v="13500"/>
    <n v="16170"/>
    <n v="218295000"/>
    <n v="2946303000"/>
    <x v="6"/>
  </r>
  <r>
    <x v="2"/>
    <x v="0"/>
    <x v="19"/>
    <n v="12800"/>
    <n v="15114"/>
    <n v="193459200"/>
    <n v="2946303000"/>
    <x v="6"/>
  </r>
  <r>
    <x v="2"/>
    <x v="0"/>
    <x v="10"/>
    <n v="9200"/>
    <n v="18893"/>
    <n v="173815600"/>
    <n v="2946303000"/>
    <x v="6"/>
  </r>
  <r>
    <x v="2"/>
    <x v="0"/>
    <x v="20"/>
    <n v="7800"/>
    <n v="18893"/>
    <n v="147365400"/>
    <n v="2946303000"/>
    <x v="6"/>
  </r>
  <r>
    <x v="2"/>
    <x v="0"/>
    <x v="21"/>
    <n v="10500"/>
    <n v="13225"/>
    <n v="138862500"/>
    <n v="2946303000"/>
    <x v="6"/>
  </r>
  <r>
    <x v="2"/>
    <x v="0"/>
    <x v="22"/>
    <n v="12200"/>
    <n v="10391"/>
    <n v="126770200"/>
    <n v="2946303000"/>
    <x v="6"/>
  </r>
  <r>
    <x v="2"/>
    <x v="0"/>
    <x v="23"/>
    <n v="5600"/>
    <n v="14169"/>
    <n v="79346400"/>
    <n v="2946303000"/>
    <x v="6"/>
  </r>
  <r>
    <x v="2"/>
    <x v="0"/>
    <x v="24"/>
    <n v="3500"/>
    <n v="18893"/>
    <n v="66125500"/>
    <n v="2946303000"/>
    <x v="6"/>
  </r>
  <r>
    <x v="2"/>
    <x v="1"/>
    <x v="14"/>
    <n v="17200"/>
    <n v="38132"/>
    <n v="655870400"/>
    <n v="3387456000"/>
    <x v="7"/>
  </r>
  <r>
    <x v="2"/>
    <x v="1"/>
    <x v="15"/>
    <n v="25000"/>
    <n v="23568"/>
    <n v="589200000"/>
    <n v="3387456000"/>
    <x v="7"/>
  </r>
  <r>
    <x v="2"/>
    <x v="1"/>
    <x v="16"/>
    <n v="11800"/>
    <n v="36316"/>
    <n v="428528800"/>
    <n v="3387456000"/>
    <x v="7"/>
  </r>
  <r>
    <x v="2"/>
    <x v="1"/>
    <x v="17"/>
    <n v="8900"/>
    <n v="40856"/>
    <n v="363618400"/>
    <n v="3387456000"/>
    <x v="7"/>
  </r>
  <r>
    <x v="2"/>
    <x v="1"/>
    <x v="18"/>
    <n v="14200"/>
    <n v="19066"/>
    <n v="270737200"/>
    <n v="3387456000"/>
    <x v="7"/>
  </r>
  <r>
    <x v="2"/>
    <x v="1"/>
    <x v="19"/>
    <n v="13500"/>
    <n v="16342"/>
    <n v="220617000"/>
    <n v="3387456000"/>
    <x v="7"/>
  </r>
  <r>
    <x v="2"/>
    <x v="1"/>
    <x v="10"/>
    <n v="9700"/>
    <n v="19974"/>
    <n v="193747800"/>
    <n v="3387456000"/>
    <x v="7"/>
  </r>
  <r>
    <x v="2"/>
    <x v="1"/>
    <x v="20"/>
    <n v="8200"/>
    <n v="20882"/>
    <n v="171232400"/>
    <n v="3387456000"/>
    <x v="7"/>
  </r>
  <r>
    <x v="2"/>
    <x v="1"/>
    <x v="21"/>
    <n v="11100"/>
    <n v="14526"/>
    <n v="161238600"/>
    <n v="3387456000"/>
    <x v="7"/>
  </r>
  <r>
    <x v="2"/>
    <x v="1"/>
    <x v="22"/>
    <n v="12900"/>
    <n v="11803"/>
    <n v="152258700"/>
    <n v="3387456000"/>
    <x v="7"/>
  </r>
  <r>
    <x v="2"/>
    <x v="1"/>
    <x v="23"/>
    <n v="5900"/>
    <n v="16342"/>
    <n v="96417800"/>
    <n v="3387456000"/>
    <x v="7"/>
  </r>
  <r>
    <x v="2"/>
    <x v="1"/>
    <x v="24"/>
    <n v="3700"/>
    <n v="22698"/>
    <n v="83982600"/>
    <n v="3387456000"/>
    <x v="7"/>
  </r>
  <r>
    <x v="2"/>
    <x v="2"/>
    <x v="14"/>
    <n v="18000"/>
    <n v="41253"/>
    <n v="742554000"/>
    <n v="4246648000"/>
    <x v="8"/>
  </r>
  <r>
    <x v="2"/>
    <x v="2"/>
    <x v="15"/>
    <n v="26200"/>
    <n v="27502"/>
    <n v="720552400"/>
    <n v="4246648000"/>
    <x v="8"/>
  </r>
  <r>
    <x v="2"/>
    <x v="2"/>
    <x v="16"/>
    <n v="12500"/>
    <n v="41253"/>
    <n v="515662500"/>
    <n v="4246648000"/>
    <x v="8"/>
  </r>
  <r>
    <x v="2"/>
    <x v="2"/>
    <x v="17"/>
    <n v="9400"/>
    <n v="47151"/>
    <n v="443219400"/>
    <n v="4246648000"/>
    <x v="8"/>
  </r>
  <r>
    <x v="2"/>
    <x v="2"/>
    <x v="18"/>
    <n v="15000"/>
    <n v="24064"/>
    <n v="360960000"/>
    <n v="4246648000"/>
    <x v="8"/>
  </r>
  <r>
    <x v="2"/>
    <x v="2"/>
    <x v="19"/>
    <n v="14200"/>
    <n v="21486"/>
    <n v="305101200"/>
    <n v="4246648000"/>
    <x v="8"/>
  </r>
  <r>
    <x v="2"/>
    <x v="2"/>
    <x v="10"/>
    <n v="10300"/>
    <n v="24064"/>
    <n v="247859200"/>
    <n v="4246648000"/>
    <x v="8"/>
  </r>
  <r>
    <x v="2"/>
    <x v="2"/>
    <x v="20"/>
    <n v="8700"/>
    <n v="25783"/>
    <n v="224312100"/>
    <n v="4246648000"/>
    <x v="8"/>
  </r>
  <r>
    <x v="2"/>
    <x v="2"/>
    <x v="21"/>
    <n v="11800"/>
    <n v="18908"/>
    <n v="223114400"/>
    <n v="4246648000"/>
    <x v="8"/>
  </r>
  <r>
    <x v="2"/>
    <x v="2"/>
    <x v="22"/>
    <n v="13600"/>
    <n v="15470"/>
    <n v="210392000"/>
    <n v="4246648000"/>
    <x v="8"/>
  </r>
  <r>
    <x v="2"/>
    <x v="2"/>
    <x v="23"/>
    <n v="6300"/>
    <n v="21486"/>
    <n v="135361800"/>
    <n v="4246648000"/>
    <x v="8"/>
  </r>
  <r>
    <x v="2"/>
    <x v="2"/>
    <x v="24"/>
    <n v="3900"/>
    <n v="30080"/>
    <n v="117312000"/>
    <n v="4246648000"/>
    <x v="8"/>
  </r>
  <r>
    <x v="3"/>
    <x v="0"/>
    <x v="25"/>
    <n v="18500"/>
    <n v="45833"/>
    <n v="847910500"/>
    <n v="3863261000"/>
    <x v="9"/>
  </r>
  <r>
    <x v="3"/>
    <x v="0"/>
    <x v="26"/>
    <n v="26000"/>
    <n v="28519"/>
    <n v="741494000"/>
    <n v="3863261000"/>
    <x v="9"/>
  </r>
  <r>
    <x v="3"/>
    <x v="0"/>
    <x v="27"/>
    <n v="850000"/>
    <n v="387"/>
    <n v="328950000"/>
    <n v="3863261000"/>
    <x v="9"/>
  </r>
  <r>
    <x v="3"/>
    <x v="0"/>
    <x v="28"/>
    <n v="650000"/>
    <n v="428"/>
    <n v="278200000"/>
    <n v="3863261000"/>
    <x v="9"/>
  </r>
  <r>
    <x v="3"/>
    <x v="0"/>
    <x v="8"/>
    <n v="10200"/>
    <n v="12307"/>
    <n v="125531400"/>
    <n v="3863261000"/>
    <x v="9"/>
  </r>
  <r>
    <x v="3"/>
    <x v="0"/>
    <x v="29"/>
    <n v="32000"/>
    <n v="6620"/>
    <n v="211840000"/>
    <n v="3863261000"/>
    <x v="9"/>
  </r>
  <r>
    <x v="3"/>
    <x v="0"/>
    <x v="30"/>
    <n v="12500"/>
    <n v="16296"/>
    <n v="203700000"/>
    <n v="3863261000"/>
    <x v="9"/>
  </r>
  <r>
    <x v="3"/>
    <x v="0"/>
    <x v="31"/>
    <n v="1200000"/>
    <n v="163"/>
    <n v="195600000"/>
    <n v="3863261000"/>
    <x v="9"/>
  </r>
  <r>
    <x v="3"/>
    <x v="0"/>
    <x v="32"/>
    <n v="180000"/>
    <n v="968"/>
    <n v="174240000"/>
    <n v="3863261000"/>
    <x v="9"/>
  </r>
  <r>
    <x v="3"/>
    <x v="0"/>
    <x v="33"/>
    <n v="8500"/>
    <n v="18333"/>
    <n v="155830500"/>
    <n v="3863261000"/>
    <x v="9"/>
  </r>
  <r>
    <x v="3"/>
    <x v="0"/>
    <x v="10"/>
    <n v="7800"/>
    <n v="15278"/>
    <n v="119168400"/>
    <n v="3863261000"/>
    <x v="9"/>
  </r>
  <r>
    <x v="3"/>
    <x v="0"/>
    <x v="34"/>
    <n v="12800"/>
    <n v="8657"/>
    <n v="110809600"/>
    <n v="3863261000"/>
    <x v="9"/>
  </r>
  <r>
    <x v="3"/>
    <x v="0"/>
    <x v="21"/>
    <n v="9600"/>
    <n v="9167"/>
    <n v="88003200"/>
    <n v="3863261000"/>
    <x v="9"/>
  </r>
  <r>
    <x v="3"/>
    <x v="0"/>
    <x v="20"/>
    <n v="6900"/>
    <n v="11204"/>
    <n v="77307600"/>
    <n v="3863261000"/>
    <x v="9"/>
  </r>
  <r>
    <x v="3"/>
    <x v="0"/>
    <x v="35"/>
    <n v="85000"/>
    <n v="815"/>
    <n v="69275000"/>
    <n v="3863261000"/>
    <x v="9"/>
  </r>
  <r>
    <x v="3"/>
    <x v="0"/>
    <x v="36"/>
    <n v="120000"/>
    <n v="458"/>
    <n v="54960000"/>
    <n v="3863261000"/>
    <x v="9"/>
  </r>
  <r>
    <x v="3"/>
    <x v="0"/>
    <x v="37"/>
    <n v="95000"/>
    <n v="509"/>
    <n v="48355000"/>
    <n v="3863261000"/>
    <x v="9"/>
  </r>
  <r>
    <x v="3"/>
    <x v="0"/>
    <x v="38"/>
    <n v="450000"/>
    <n v="71"/>
    <n v="31950000"/>
    <n v="3863261000"/>
    <x v="9"/>
  </r>
  <r>
    <x v="3"/>
    <x v="1"/>
    <x v="25"/>
    <n v="19200"/>
    <n v="43287"/>
    <n v="831110400"/>
    <n v="4596643000"/>
    <x v="10"/>
  </r>
  <r>
    <x v="3"/>
    <x v="1"/>
    <x v="26"/>
    <n v="27000"/>
    <n v="6754"/>
    <n v="182358000"/>
    <n v="4596643000"/>
    <x v="10"/>
  </r>
  <r>
    <x v="3"/>
    <x v="1"/>
    <x v="27"/>
    <n v="890000"/>
    <n v="501"/>
    <n v="445890000"/>
    <n v="4596643000"/>
    <x v="10"/>
  </r>
  <r>
    <x v="3"/>
    <x v="1"/>
    <x v="28"/>
    <n v="680000"/>
    <n v="540"/>
    <n v="367200000"/>
    <n v="4596643000"/>
    <x v="10"/>
  </r>
  <r>
    <x v="3"/>
    <x v="1"/>
    <x v="8"/>
    <n v="10700"/>
    <n v="29958"/>
    <n v="320550600"/>
    <n v="4596643000"/>
    <x v="10"/>
  </r>
  <r>
    <x v="3"/>
    <x v="1"/>
    <x v="29"/>
    <n v="33500"/>
    <n v="8545"/>
    <n v="286257500"/>
    <n v="4596643000"/>
    <x v="10"/>
  </r>
  <r>
    <x v="3"/>
    <x v="1"/>
    <x v="30"/>
    <n v="13100"/>
    <n v="19582"/>
    <n v="256524200"/>
    <n v="4596643000"/>
    <x v="10"/>
  </r>
  <r>
    <x v="3"/>
    <x v="1"/>
    <x v="31"/>
    <n v="1260000"/>
    <n v="306"/>
    <n v="385560000"/>
    <n v="4596643000"/>
    <x v="10"/>
  </r>
  <r>
    <x v="3"/>
    <x v="1"/>
    <x v="32"/>
    <n v="189000"/>
    <n v="1237"/>
    <n v="233793000"/>
    <n v="4596643000"/>
    <x v="10"/>
  </r>
  <r>
    <x v="3"/>
    <x v="1"/>
    <x v="33"/>
    <n v="8900"/>
    <n v="23746"/>
    <n v="211339400"/>
    <n v="4596643000"/>
    <x v="10"/>
  </r>
  <r>
    <x v="3"/>
    <x v="1"/>
    <x v="10"/>
    <n v="8200"/>
    <n v="19582"/>
    <n v="160572400"/>
    <n v="4596643000"/>
    <x v="10"/>
  </r>
  <r>
    <x v="3"/>
    <x v="1"/>
    <x v="34"/>
    <n v="13400"/>
    <n v="22437"/>
    <n v="300655800"/>
    <n v="4596643000"/>
    <x v="10"/>
  </r>
  <r>
    <x v="3"/>
    <x v="1"/>
    <x v="21"/>
    <n v="10100"/>
    <n v="12368"/>
    <n v="124916800"/>
    <n v="4596643000"/>
    <x v="10"/>
  </r>
  <r>
    <x v="3"/>
    <x v="1"/>
    <x v="20"/>
    <n v="7250"/>
    <n v="16480"/>
    <n v="119480000"/>
    <n v="4596643000"/>
    <x v="10"/>
  </r>
  <r>
    <x v="3"/>
    <x v="1"/>
    <x v="35"/>
    <n v="89000"/>
    <n v="1134"/>
    <n v="100926000"/>
    <n v="4596643000"/>
    <x v="10"/>
  </r>
  <r>
    <x v="3"/>
    <x v="1"/>
    <x v="36"/>
    <n v="126000"/>
    <n v="1021"/>
    <n v="128646000"/>
    <n v="4596643000"/>
    <x v="10"/>
  </r>
  <r>
    <x v="3"/>
    <x v="1"/>
    <x v="37"/>
    <n v="100000"/>
    <n v="821"/>
    <n v="82100000"/>
    <n v="4596643000"/>
    <x v="10"/>
  </r>
  <r>
    <x v="3"/>
    <x v="1"/>
    <x v="38"/>
    <n v="472000"/>
    <n v="124"/>
    <n v="58528000"/>
    <n v="4596643000"/>
    <x v="10"/>
  </r>
  <r>
    <x v="3"/>
    <x v="2"/>
    <x v="25"/>
    <n v="20000"/>
    <n v="47246"/>
    <n v="944920000"/>
    <n v="5511710000"/>
    <x v="11"/>
  </r>
  <r>
    <x v="3"/>
    <x v="2"/>
    <x v="26"/>
    <n v="28200"/>
    <n v="31790"/>
    <n v="896478000"/>
    <n v="5511710000"/>
    <x v="11"/>
  </r>
  <r>
    <x v="3"/>
    <x v="2"/>
    <x v="27"/>
    <n v="930000"/>
    <n v="563"/>
    <n v="523590000"/>
    <n v="5511710000"/>
    <x v="11"/>
  </r>
  <r>
    <x v="3"/>
    <x v="2"/>
    <x v="28"/>
    <n v="710000"/>
    <n v="581"/>
    <n v="412510000"/>
    <n v="5511710000"/>
    <x v="11"/>
  </r>
  <r>
    <x v="3"/>
    <x v="2"/>
    <x v="8"/>
    <n v="11200"/>
    <n v="31800"/>
    <n v="356160000"/>
    <n v="5511710000"/>
    <x v="11"/>
  </r>
  <r>
    <x v="3"/>
    <x v="2"/>
    <x v="29"/>
    <n v="35000"/>
    <n v="9086"/>
    <n v="318010000"/>
    <n v="5511710000"/>
    <x v="11"/>
  </r>
  <r>
    <x v="3"/>
    <x v="2"/>
    <x v="30"/>
    <n v="13800"/>
    <n v="21806"/>
    <n v="300922800"/>
    <n v="5511710000"/>
    <x v="11"/>
  </r>
  <r>
    <x v="3"/>
    <x v="2"/>
    <x v="31"/>
    <n v="1320000"/>
    <n v="154"/>
    <n v="203280000"/>
    <n v="5511710000"/>
    <x v="11"/>
  </r>
  <r>
    <x v="3"/>
    <x v="2"/>
    <x v="32"/>
    <n v="198000"/>
    <n v="1364"/>
    <n v="270072000"/>
    <n v="5511710000"/>
    <x v="11"/>
  </r>
  <r>
    <x v="3"/>
    <x v="2"/>
    <x v="33"/>
    <n v="9350"/>
    <n v="25440"/>
    <n v="237864000"/>
    <n v="5511710000"/>
    <x v="11"/>
  </r>
  <r>
    <x v="3"/>
    <x v="2"/>
    <x v="10"/>
    <n v="8600"/>
    <n v="22714"/>
    <n v="195340400"/>
    <n v="5511710000"/>
    <x v="11"/>
  </r>
  <r>
    <x v="3"/>
    <x v="2"/>
    <x v="34"/>
    <n v="14100"/>
    <n v="12720"/>
    <n v="179352000"/>
    <n v="5511710000"/>
    <x v="11"/>
  </r>
  <r>
    <x v="3"/>
    <x v="2"/>
    <x v="21"/>
    <n v="10600"/>
    <n v="14537"/>
    <n v="154092200"/>
    <n v="5511710000"/>
    <x v="11"/>
  </r>
  <r>
    <x v="3"/>
    <x v="2"/>
    <x v="20"/>
    <n v="7600"/>
    <n v="19080"/>
    <n v="145008000"/>
    <n v="5511710000"/>
    <x v="11"/>
  </r>
  <r>
    <x v="3"/>
    <x v="2"/>
    <x v="35"/>
    <n v="93500"/>
    <n v="1272"/>
    <n v="118932000"/>
    <n v="5511710000"/>
    <x v="11"/>
  </r>
  <r>
    <x v="3"/>
    <x v="2"/>
    <x v="36"/>
    <n v="132000"/>
    <n v="772"/>
    <n v="101904000"/>
    <n v="5511710000"/>
    <x v="11"/>
  </r>
  <r>
    <x v="3"/>
    <x v="2"/>
    <x v="37"/>
    <n v="105000"/>
    <n v="818"/>
    <n v="85890000"/>
    <n v="5511710000"/>
    <x v="11"/>
  </r>
  <r>
    <x v="3"/>
    <x v="2"/>
    <x v="38"/>
    <n v="495000"/>
    <n v="136"/>
    <n v="67320000"/>
    <n v="5511710000"/>
    <x v="11"/>
  </r>
  <r>
    <x v="4"/>
    <x v="0"/>
    <x v="39"/>
    <n v="85000"/>
    <n v="633695"/>
    <n v="53864075000"/>
    <n v="183702186000"/>
    <x v="12"/>
  </r>
  <r>
    <x v="4"/>
    <x v="0"/>
    <x v="40"/>
    <n v="78000"/>
    <n v="439623"/>
    <n v="34290594000"/>
    <n v="183702186000"/>
    <x v="12"/>
  </r>
  <r>
    <x v="4"/>
    <x v="0"/>
    <x v="41"/>
    <n v="65000"/>
    <n v="371000"/>
    <n v="24115000000"/>
    <n v="183702186000"/>
    <x v="12"/>
  </r>
  <r>
    <x v="4"/>
    <x v="0"/>
    <x v="42"/>
    <n v="55000"/>
    <n v="214900"/>
    <n v="11819500000"/>
    <n v="183702186000"/>
    <x v="12"/>
  </r>
  <r>
    <x v="4"/>
    <x v="0"/>
    <x v="43"/>
    <n v="70000"/>
    <n v="146039"/>
    <n v="10222730000"/>
    <n v="183702186000"/>
    <x v="12"/>
  </r>
  <r>
    <x v="4"/>
    <x v="0"/>
    <x v="44"/>
    <n v="35000"/>
    <n v="273362"/>
    <n v="9567670000"/>
    <n v="183702186000"/>
    <x v="12"/>
  </r>
  <r>
    <x v="4"/>
    <x v="0"/>
    <x v="45"/>
    <n v="95000"/>
    <n v="87920"/>
    <n v="8352400000"/>
    <n v="183702186000"/>
    <x v="12"/>
  </r>
  <r>
    <x v="4"/>
    <x v="0"/>
    <x v="46"/>
    <n v="60000"/>
    <n v="127002"/>
    <n v="7620120000"/>
    <n v="183702186000"/>
    <x v="12"/>
  </r>
  <r>
    <x v="4"/>
    <x v="0"/>
    <x v="47"/>
    <n v="110000"/>
    <n v="63401"/>
    <n v="6974110000"/>
    <n v="183702186000"/>
    <x v="12"/>
  </r>
  <r>
    <x v="4"/>
    <x v="0"/>
    <x v="48"/>
    <n v="82000"/>
    <n v="78155"/>
    <n v="6408710000"/>
    <n v="183702186000"/>
    <x v="12"/>
  </r>
  <r>
    <x v="4"/>
    <x v="0"/>
    <x v="49"/>
    <n v="68000"/>
    <n v="83000"/>
    <n v="5644000000"/>
    <n v="183702186000"/>
    <x v="12"/>
  </r>
  <r>
    <x v="4"/>
    <x v="0"/>
    <x v="50"/>
    <n v="45000"/>
    <n v="107463"/>
    <n v="4835835000"/>
    <n v="183702186000"/>
    <x v="12"/>
  </r>
  <r>
    <x v="4"/>
    <x v="1"/>
    <x v="39"/>
    <n v="86000"/>
    <n v="628433"/>
    <n v="54045238000"/>
    <n v="184932603000"/>
    <x v="13"/>
  </r>
  <r>
    <x v="4"/>
    <x v="1"/>
    <x v="40"/>
    <n v="79000"/>
    <n v="433666"/>
    <n v="34259614000"/>
    <n v="184932603000"/>
    <x v="13"/>
  </r>
  <r>
    <x v="4"/>
    <x v="1"/>
    <x v="41"/>
    <n v="66000"/>
    <n v="366506"/>
    <n v="24189396000"/>
    <n v="184932603000"/>
    <x v="13"/>
  </r>
  <r>
    <x v="4"/>
    <x v="1"/>
    <x v="42"/>
    <n v="56000"/>
    <n v="209158"/>
    <n v="11712848000"/>
    <n v="184932603000"/>
    <x v="13"/>
  </r>
  <r>
    <x v="4"/>
    <x v="1"/>
    <x v="43"/>
    <n v="71000"/>
    <n v="145835"/>
    <n v="10354285000"/>
    <n v="184932603000"/>
    <x v="13"/>
  </r>
  <r>
    <x v="4"/>
    <x v="1"/>
    <x v="44"/>
    <n v="36000"/>
    <n v="270562"/>
    <n v="9740232000"/>
    <n v="184932603000"/>
    <x v="13"/>
  </r>
  <r>
    <x v="4"/>
    <x v="1"/>
    <x v="45"/>
    <n v="96000"/>
    <n v="88268"/>
    <n v="8473728000"/>
    <n v="184932603000"/>
    <x v="13"/>
  </r>
  <r>
    <x v="4"/>
    <x v="1"/>
    <x v="46"/>
    <n v="61000"/>
    <n v="126646"/>
    <n v="7725406000"/>
    <n v="184932603000"/>
    <x v="13"/>
  </r>
  <r>
    <x v="4"/>
    <x v="1"/>
    <x v="47"/>
    <n v="112000"/>
    <n v="64282"/>
    <n v="7199584000"/>
    <n v="184932603000"/>
    <x v="13"/>
  </r>
  <r>
    <x v="4"/>
    <x v="1"/>
    <x v="48"/>
    <n v="83000"/>
    <n v="78674"/>
    <n v="6529942000"/>
    <n v="184932603000"/>
    <x v="13"/>
  </r>
  <r>
    <x v="4"/>
    <x v="1"/>
    <x v="49"/>
    <n v="69000"/>
    <n v="83471"/>
    <n v="5759499000"/>
    <n v="184932603000"/>
    <x v="13"/>
  </r>
  <r>
    <x v="4"/>
    <x v="1"/>
    <x v="50"/>
    <n v="46000"/>
    <n v="107457"/>
    <n v="4943022000"/>
    <n v="184932603000"/>
    <x v="13"/>
  </r>
  <r>
    <x v="4"/>
    <x v="2"/>
    <x v="39"/>
    <n v="87000"/>
    <n v="686333"/>
    <n v="59710971000"/>
    <n v="207084881000"/>
    <x v="14"/>
  </r>
  <r>
    <x v="4"/>
    <x v="2"/>
    <x v="40"/>
    <n v="81000"/>
    <n v="476620"/>
    <n v="38606220000"/>
    <n v="207084881000"/>
    <x v="14"/>
  </r>
  <r>
    <x v="4"/>
    <x v="2"/>
    <x v="41"/>
    <n v="67500"/>
    <n v="400391"/>
    <n v="27026392500"/>
    <n v="207084881000"/>
    <x v="14"/>
  </r>
  <r>
    <x v="4"/>
    <x v="2"/>
    <x v="42"/>
    <n v="58000"/>
    <n v="228778"/>
    <n v="13269124000"/>
    <n v="207084881000"/>
    <x v="14"/>
  </r>
  <r>
    <x v="4"/>
    <x v="2"/>
    <x v="43"/>
    <n v="72500"/>
    <n v="162081"/>
    <n v="11750872500"/>
    <n v="207084881000"/>
    <x v="14"/>
  </r>
  <r>
    <x v="4"/>
    <x v="2"/>
    <x v="44"/>
    <n v="38000"/>
    <n v="295504"/>
    <n v="11229152000"/>
    <n v="207084881000"/>
    <x v="14"/>
  </r>
  <r>
    <x v="4"/>
    <x v="2"/>
    <x v="45"/>
    <n v="98000"/>
    <n v="95320"/>
    <n v="9341360000"/>
    <n v="207084881000"/>
    <x v="14"/>
  </r>
  <r>
    <x v="4"/>
    <x v="2"/>
    <x v="46"/>
    <n v="63000"/>
    <n v="138220"/>
    <n v="8707860000"/>
    <n v="207084881000"/>
    <x v="14"/>
  </r>
  <r>
    <x v="4"/>
    <x v="2"/>
    <x v="47"/>
    <n v="115000"/>
    <n v="71499"/>
    <n v="8222385000"/>
    <n v="207084881000"/>
    <x v="14"/>
  </r>
  <r>
    <x v="4"/>
    <x v="2"/>
    <x v="48"/>
    <n v="85000"/>
    <n v="85800"/>
    <n v="7293000000"/>
    <n v="207084881000"/>
    <x v="14"/>
  </r>
  <r>
    <x v="4"/>
    <x v="2"/>
    <x v="49"/>
    <n v="71000"/>
    <n v="90658"/>
    <n v="6436718000"/>
    <n v="207084881000"/>
    <x v="14"/>
  </r>
  <r>
    <x v="4"/>
    <x v="2"/>
    <x v="50"/>
    <n v="48000"/>
    <n v="114389"/>
    <n v="5490672000"/>
    <n v="207084881000"/>
    <x v="14"/>
  </r>
  <r>
    <x v="5"/>
    <x v="0"/>
    <x v="51"/>
    <n v="29000"/>
    <n v="9723"/>
    <n v="281967000"/>
    <n v="4229891000"/>
    <x v="15"/>
  </r>
  <r>
    <x v="5"/>
    <x v="0"/>
    <x v="52"/>
    <n v="31000"/>
    <n v="9096"/>
    <n v="281976000"/>
    <n v="4229891000"/>
    <x v="15"/>
  </r>
  <r>
    <x v="5"/>
    <x v="0"/>
    <x v="53"/>
    <n v="31000"/>
    <n v="9096"/>
    <n v="281976000"/>
    <n v="4229891000"/>
    <x v="15"/>
  </r>
  <r>
    <x v="5"/>
    <x v="0"/>
    <x v="54"/>
    <n v="32000"/>
    <n v="8812"/>
    <n v="281984000"/>
    <n v="4229891000"/>
    <x v="15"/>
  </r>
  <r>
    <x v="5"/>
    <x v="0"/>
    <x v="55"/>
    <n v="32000"/>
    <n v="8812"/>
    <n v="281984000"/>
    <n v="4229891000"/>
    <x v="15"/>
  </r>
  <r>
    <x v="5"/>
    <x v="0"/>
    <x v="56"/>
    <n v="29000"/>
    <n v="9723"/>
    <n v="281967000"/>
    <n v="4229891000"/>
    <x v="15"/>
  </r>
  <r>
    <x v="5"/>
    <x v="0"/>
    <x v="57"/>
    <n v="29000"/>
    <n v="9723"/>
    <n v="281967000"/>
    <n v="4229891000"/>
    <x v="15"/>
  </r>
  <r>
    <x v="5"/>
    <x v="0"/>
    <x v="58"/>
    <n v="32000"/>
    <n v="8812"/>
    <n v="281984000"/>
    <n v="4229891000"/>
    <x v="15"/>
  </r>
  <r>
    <x v="5"/>
    <x v="0"/>
    <x v="59"/>
    <n v="33000"/>
    <n v="8545"/>
    <n v="281985000"/>
    <n v="4229891000"/>
    <x v="15"/>
  </r>
  <r>
    <x v="5"/>
    <x v="0"/>
    <x v="60"/>
    <n v="35000"/>
    <n v="8056"/>
    <n v="281960000"/>
    <n v="4229891000"/>
    <x v="15"/>
  </r>
  <r>
    <x v="5"/>
    <x v="0"/>
    <x v="61"/>
    <n v="35000"/>
    <n v="8056"/>
    <n v="281960000"/>
    <n v="4229891000"/>
    <x v="15"/>
  </r>
  <r>
    <x v="5"/>
    <x v="0"/>
    <x v="62"/>
    <n v="35000"/>
    <n v="8056"/>
    <n v="281960000"/>
    <n v="4229891000"/>
    <x v="15"/>
  </r>
  <r>
    <x v="5"/>
    <x v="0"/>
    <x v="63"/>
    <n v="26000"/>
    <n v="10845"/>
    <n v="281970000"/>
    <n v="4229891000"/>
    <x v="15"/>
  </r>
  <r>
    <x v="5"/>
    <x v="0"/>
    <x v="64"/>
    <n v="36000"/>
    <n v="7833"/>
    <n v="281988000"/>
    <n v="4229891000"/>
    <x v="15"/>
  </r>
  <r>
    <x v="5"/>
    <x v="0"/>
    <x v="65"/>
    <n v="32000"/>
    <n v="8812"/>
    <n v="281984000"/>
    <n v="4229891000"/>
    <x v="15"/>
  </r>
  <r>
    <x v="5"/>
    <x v="1"/>
    <x v="51"/>
    <n v="29000"/>
    <n v="6479"/>
    <n v="187891000"/>
    <n v="2818701000"/>
    <x v="16"/>
  </r>
  <r>
    <x v="5"/>
    <x v="1"/>
    <x v="52"/>
    <n v="31000"/>
    <n v="6061"/>
    <n v="187891000"/>
    <n v="2818701000"/>
    <x v="16"/>
  </r>
  <r>
    <x v="5"/>
    <x v="1"/>
    <x v="53"/>
    <n v="31000"/>
    <n v="6061"/>
    <n v="187891000"/>
    <n v="2818701000"/>
    <x v="16"/>
  </r>
  <r>
    <x v="5"/>
    <x v="1"/>
    <x v="54"/>
    <n v="32000"/>
    <n v="5872"/>
    <n v="187904000"/>
    <n v="2818701000"/>
    <x v="16"/>
  </r>
  <r>
    <x v="5"/>
    <x v="1"/>
    <x v="55"/>
    <n v="32000"/>
    <n v="5872"/>
    <n v="187904000"/>
    <n v="2818701000"/>
    <x v="16"/>
  </r>
  <r>
    <x v="5"/>
    <x v="1"/>
    <x v="56"/>
    <n v="29000"/>
    <n v="6479"/>
    <n v="187891000"/>
    <n v="2818701000"/>
    <x v="16"/>
  </r>
  <r>
    <x v="5"/>
    <x v="1"/>
    <x v="57"/>
    <n v="29000"/>
    <n v="6479"/>
    <n v="187891000"/>
    <n v="2818701000"/>
    <x v="16"/>
  </r>
  <r>
    <x v="5"/>
    <x v="1"/>
    <x v="58"/>
    <n v="32000"/>
    <n v="5872"/>
    <n v="187904000"/>
    <n v="2818701000"/>
    <x v="16"/>
  </r>
  <r>
    <x v="5"/>
    <x v="1"/>
    <x v="59"/>
    <n v="33000"/>
    <n v="5694"/>
    <n v="187902000"/>
    <n v="2818701000"/>
    <x v="16"/>
  </r>
  <r>
    <x v="5"/>
    <x v="1"/>
    <x v="60"/>
    <n v="35000"/>
    <n v="5368"/>
    <n v="187880000"/>
    <n v="2818701000"/>
    <x v="16"/>
  </r>
  <r>
    <x v="5"/>
    <x v="1"/>
    <x v="61"/>
    <n v="35000"/>
    <n v="5368"/>
    <n v="187880000"/>
    <n v="2818701000"/>
    <x v="16"/>
  </r>
  <r>
    <x v="5"/>
    <x v="1"/>
    <x v="62"/>
    <n v="35000"/>
    <n v="5368"/>
    <n v="187880000"/>
    <n v="2818701000"/>
    <x v="16"/>
  </r>
  <r>
    <x v="5"/>
    <x v="1"/>
    <x v="63"/>
    <n v="26000"/>
    <n v="7227"/>
    <n v="187902000"/>
    <n v="2818701000"/>
    <x v="16"/>
  </r>
  <r>
    <x v="5"/>
    <x v="1"/>
    <x v="64"/>
    <n v="36000"/>
    <n v="5219"/>
    <n v="187884000"/>
    <n v="2818701000"/>
    <x v="16"/>
  </r>
  <r>
    <x v="5"/>
    <x v="1"/>
    <x v="65"/>
    <n v="32000"/>
    <n v="5872"/>
    <n v="187904000"/>
    <n v="2818701000"/>
    <x v="16"/>
  </r>
  <r>
    <x v="5"/>
    <x v="2"/>
    <x v="51"/>
    <n v="29000"/>
    <n v="4829"/>
    <n v="140041000"/>
    <n v="2100768000"/>
    <x v="17"/>
  </r>
  <r>
    <x v="5"/>
    <x v="2"/>
    <x v="52"/>
    <n v="31000"/>
    <n v="4517"/>
    <n v="140027000"/>
    <n v="2100768000"/>
    <x v="17"/>
  </r>
  <r>
    <x v="5"/>
    <x v="2"/>
    <x v="53"/>
    <n v="31000"/>
    <n v="4517"/>
    <n v="140027000"/>
    <n v="2100768000"/>
    <x v="17"/>
  </r>
  <r>
    <x v="5"/>
    <x v="2"/>
    <x v="54"/>
    <n v="32000"/>
    <n v="4376"/>
    <n v="140032000"/>
    <n v="2100768000"/>
    <x v="17"/>
  </r>
  <r>
    <x v="5"/>
    <x v="2"/>
    <x v="55"/>
    <n v="32000"/>
    <n v="4376"/>
    <n v="140032000"/>
    <n v="2100768000"/>
    <x v="17"/>
  </r>
  <r>
    <x v="5"/>
    <x v="2"/>
    <x v="56"/>
    <n v="29000"/>
    <n v="4829"/>
    <n v="140041000"/>
    <n v="2100768000"/>
    <x v="17"/>
  </r>
  <r>
    <x v="5"/>
    <x v="2"/>
    <x v="57"/>
    <n v="29000"/>
    <n v="4829"/>
    <n v="140041000"/>
    <n v="2100768000"/>
    <x v="17"/>
  </r>
  <r>
    <x v="5"/>
    <x v="2"/>
    <x v="58"/>
    <n v="32000"/>
    <n v="4376"/>
    <n v="140032000"/>
    <n v="2100768000"/>
    <x v="17"/>
  </r>
  <r>
    <x v="5"/>
    <x v="2"/>
    <x v="59"/>
    <n v="33000"/>
    <n v="4243"/>
    <n v="140019000"/>
    <n v="2100768000"/>
    <x v="17"/>
  </r>
  <r>
    <x v="5"/>
    <x v="2"/>
    <x v="60"/>
    <n v="35000"/>
    <n v="4001"/>
    <n v="140035000"/>
    <n v="2100768000"/>
    <x v="17"/>
  </r>
  <r>
    <x v="5"/>
    <x v="2"/>
    <x v="61"/>
    <n v="35000"/>
    <n v="4001"/>
    <n v="140035000"/>
    <n v="2100768000"/>
    <x v="17"/>
  </r>
  <r>
    <x v="5"/>
    <x v="2"/>
    <x v="62"/>
    <n v="35000"/>
    <n v="4001"/>
    <n v="140035000"/>
    <n v="2100768000"/>
    <x v="17"/>
  </r>
  <r>
    <x v="5"/>
    <x v="2"/>
    <x v="63"/>
    <n v="26000"/>
    <n v="5386"/>
    <n v="140036000"/>
    <n v="2100768000"/>
    <x v="17"/>
  </r>
  <r>
    <x v="5"/>
    <x v="2"/>
    <x v="64"/>
    <n v="36000"/>
    <n v="3890"/>
    <n v="140040000"/>
    <n v="2100768000"/>
    <x v="17"/>
  </r>
  <r>
    <x v="5"/>
    <x v="2"/>
    <x v="65"/>
    <n v="32000"/>
    <n v="4376"/>
    <n v="140032000"/>
    <n v="2100768000"/>
    <x v="17"/>
  </r>
  <r>
    <x v="6"/>
    <x v="0"/>
    <x v="66"/>
    <n v="8250"/>
    <n v="2249"/>
    <n v="18554250"/>
    <n v="371125000"/>
    <x v="18"/>
  </r>
  <r>
    <x v="6"/>
    <x v="0"/>
    <x v="67"/>
    <n v="1800"/>
    <n v="10309"/>
    <n v="18556200"/>
    <n v="371125000"/>
    <x v="18"/>
  </r>
  <r>
    <x v="6"/>
    <x v="0"/>
    <x v="68"/>
    <n v="9100"/>
    <n v="2039"/>
    <n v="18554900"/>
    <n v="371125000"/>
    <x v="18"/>
  </r>
  <r>
    <x v="6"/>
    <x v="0"/>
    <x v="67"/>
    <n v="1800"/>
    <n v="10309"/>
    <n v="18556200"/>
    <n v="371125000"/>
    <x v="18"/>
  </r>
  <r>
    <x v="6"/>
    <x v="0"/>
    <x v="69"/>
    <n v="11300"/>
    <n v="1642"/>
    <n v="18554600"/>
    <n v="371125000"/>
    <x v="18"/>
  </r>
  <r>
    <x v="6"/>
    <x v="0"/>
    <x v="67"/>
    <n v="1800"/>
    <n v="10309"/>
    <n v="18556200"/>
    <n v="371125000"/>
    <x v="18"/>
  </r>
  <r>
    <x v="6"/>
    <x v="0"/>
    <x v="70"/>
    <n v="17100"/>
    <n v="1085"/>
    <n v="18553500"/>
    <n v="371125000"/>
    <x v="18"/>
  </r>
  <r>
    <x v="6"/>
    <x v="0"/>
    <x v="67"/>
    <n v="2800"/>
    <n v="6627"/>
    <n v="18555600"/>
    <n v="371125000"/>
    <x v="18"/>
  </r>
  <r>
    <x v="6"/>
    <x v="0"/>
    <x v="71"/>
    <n v="24000"/>
    <n v="773"/>
    <n v="18552000"/>
    <n v="371125000"/>
    <x v="18"/>
  </r>
  <r>
    <x v="6"/>
    <x v="0"/>
    <x v="67"/>
    <n v="2800"/>
    <n v="6627"/>
    <n v="18555600"/>
    <n v="371125000"/>
    <x v="18"/>
  </r>
  <r>
    <x v="6"/>
    <x v="0"/>
    <x v="72"/>
    <n v="13670"/>
    <n v="1357"/>
    <n v="18550190"/>
    <n v="371125000"/>
    <x v="18"/>
  </r>
  <r>
    <x v="6"/>
    <x v="0"/>
    <x v="67"/>
    <n v="2800"/>
    <n v="6627"/>
    <n v="18555600"/>
    <n v="371125000"/>
    <x v="18"/>
  </r>
  <r>
    <x v="6"/>
    <x v="0"/>
    <x v="73"/>
    <n v="20800"/>
    <n v="892"/>
    <n v="18553600"/>
    <n v="371125000"/>
    <x v="18"/>
  </r>
  <r>
    <x v="6"/>
    <x v="0"/>
    <x v="67"/>
    <n v="2800"/>
    <n v="6627"/>
    <n v="18555600"/>
    <n v="371125000"/>
    <x v="18"/>
  </r>
  <r>
    <x v="6"/>
    <x v="0"/>
    <x v="74"/>
    <n v="8100"/>
    <n v="2290"/>
    <n v="18549000"/>
    <n v="371125000"/>
    <x v="18"/>
  </r>
  <r>
    <x v="6"/>
    <x v="0"/>
    <x v="67"/>
    <n v="1800"/>
    <n v="10309"/>
    <n v="18556200"/>
    <n v="371125000"/>
    <x v="18"/>
  </r>
  <r>
    <x v="6"/>
    <x v="0"/>
    <x v="75"/>
    <n v="250"/>
    <n v="74225"/>
    <n v="18556250"/>
    <n v="371125000"/>
    <x v="18"/>
  </r>
  <r>
    <x v="6"/>
    <x v="0"/>
    <x v="76"/>
    <n v="72000"/>
    <n v="257"/>
    <n v="18504000"/>
    <n v="371125000"/>
    <x v="18"/>
  </r>
  <r>
    <x v="6"/>
    <x v="0"/>
    <x v="77"/>
    <n v="83000"/>
    <n v="223"/>
    <n v="18509000"/>
    <n v="371125000"/>
    <x v="18"/>
  </r>
  <r>
    <x v="6"/>
    <x v="0"/>
    <x v="78"/>
    <n v="105000"/>
    <n v="177"/>
    <n v="18585000"/>
    <n v="371125000"/>
    <x v="18"/>
  </r>
  <r>
    <x v="6"/>
    <x v="1"/>
    <x v="66"/>
    <n v="8250"/>
    <n v="6312"/>
    <n v="52074000"/>
    <n v="1041499000"/>
    <x v="19"/>
  </r>
  <r>
    <x v="6"/>
    <x v="1"/>
    <x v="67"/>
    <n v="1800"/>
    <n v="28930"/>
    <n v="52074000"/>
    <n v="1041499000"/>
    <x v="19"/>
  </r>
  <r>
    <x v="6"/>
    <x v="1"/>
    <x v="68"/>
    <n v="9100"/>
    <n v="5722"/>
    <n v="52070200"/>
    <n v="1041499000"/>
    <x v="19"/>
  </r>
  <r>
    <x v="6"/>
    <x v="1"/>
    <x v="67"/>
    <n v="1800"/>
    <n v="28930"/>
    <n v="52074000"/>
    <n v="1041499000"/>
    <x v="19"/>
  </r>
  <r>
    <x v="6"/>
    <x v="1"/>
    <x v="69"/>
    <n v="11300"/>
    <n v="4608"/>
    <n v="52070400"/>
    <n v="1041499000"/>
    <x v="19"/>
  </r>
  <r>
    <x v="6"/>
    <x v="1"/>
    <x v="67"/>
    <n v="1800"/>
    <n v="28930"/>
    <n v="52074000"/>
    <n v="1041499000"/>
    <x v="19"/>
  </r>
  <r>
    <x v="6"/>
    <x v="1"/>
    <x v="70"/>
    <n v="17100"/>
    <n v="3045"/>
    <n v="52069500"/>
    <n v="1041499000"/>
    <x v="19"/>
  </r>
  <r>
    <x v="6"/>
    <x v="1"/>
    <x v="67"/>
    <n v="2800"/>
    <n v="18598"/>
    <n v="52074400"/>
    <n v="1041499000"/>
    <x v="19"/>
  </r>
  <r>
    <x v="6"/>
    <x v="1"/>
    <x v="71"/>
    <n v="24000"/>
    <n v="2169"/>
    <n v="52056000"/>
    <n v="1041499000"/>
    <x v="19"/>
  </r>
  <r>
    <x v="6"/>
    <x v="1"/>
    <x v="67"/>
    <n v="2800"/>
    <n v="18598"/>
    <n v="52074400"/>
    <n v="1041499000"/>
    <x v="19"/>
  </r>
  <r>
    <x v="6"/>
    <x v="1"/>
    <x v="72"/>
    <n v="13670"/>
    <n v="3809"/>
    <n v="52069030"/>
    <n v="1041499000"/>
    <x v="19"/>
  </r>
  <r>
    <x v="6"/>
    <x v="1"/>
    <x v="67"/>
    <n v="2800"/>
    <n v="18598"/>
    <n v="52074400"/>
    <n v="1041499000"/>
    <x v="19"/>
  </r>
  <r>
    <x v="6"/>
    <x v="1"/>
    <x v="73"/>
    <n v="20800"/>
    <n v="2503"/>
    <n v="52062400"/>
    <n v="1041499000"/>
    <x v="19"/>
  </r>
  <r>
    <x v="6"/>
    <x v="1"/>
    <x v="67"/>
    <n v="2800"/>
    <n v="18598"/>
    <n v="52074400"/>
    <n v="1041499000"/>
    <x v="19"/>
  </r>
  <r>
    <x v="6"/>
    <x v="1"/>
    <x v="74"/>
    <n v="8100"/>
    <n v="6429"/>
    <n v="52074900"/>
    <n v="1041499000"/>
    <x v="19"/>
  </r>
  <r>
    <x v="6"/>
    <x v="1"/>
    <x v="67"/>
    <n v="1800"/>
    <n v="28930"/>
    <n v="52074000"/>
    <n v="1041499000"/>
    <x v="19"/>
  </r>
  <r>
    <x v="6"/>
    <x v="1"/>
    <x v="75"/>
    <n v="250"/>
    <n v="208299"/>
    <n v="52074750"/>
    <n v="1041499000"/>
    <x v="19"/>
  </r>
  <r>
    <x v="6"/>
    <x v="1"/>
    <x v="76"/>
    <n v="72000"/>
    <n v="723"/>
    <n v="52056000"/>
    <n v="1041499000"/>
    <x v="19"/>
  </r>
  <r>
    <x v="6"/>
    <x v="1"/>
    <x v="77"/>
    <n v="83000"/>
    <n v="627"/>
    <n v="52041000"/>
    <n v="1041499000"/>
    <x v="19"/>
  </r>
  <r>
    <x v="6"/>
    <x v="1"/>
    <x v="78"/>
    <n v="105000"/>
    <n v="497"/>
    <n v="52185000"/>
    <n v="1041499000"/>
    <x v="19"/>
  </r>
  <r>
    <x v="6"/>
    <x v="2"/>
    <x v="66"/>
    <n v="8250"/>
    <n v="4537"/>
    <n v="37430250"/>
    <n v="748638000"/>
    <x v="20"/>
  </r>
  <r>
    <x v="6"/>
    <x v="2"/>
    <x v="67"/>
    <n v="1800"/>
    <n v="20795"/>
    <n v="37431000"/>
    <n v="748638000"/>
    <x v="20"/>
  </r>
  <r>
    <x v="6"/>
    <x v="2"/>
    <x v="68"/>
    <n v="9100"/>
    <n v="4113"/>
    <n v="37428300"/>
    <n v="748638000"/>
    <x v="20"/>
  </r>
  <r>
    <x v="6"/>
    <x v="2"/>
    <x v="67"/>
    <n v="1800"/>
    <n v="20795"/>
    <n v="37431000"/>
    <n v="748638000"/>
    <x v="20"/>
  </r>
  <r>
    <x v="6"/>
    <x v="2"/>
    <x v="69"/>
    <n v="11300"/>
    <n v="3312"/>
    <n v="37425600"/>
    <n v="748638000"/>
    <x v="20"/>
  </r>
  <r>
    <x v="6"/>
    <x v="2"/>
    <x v="67"/>
    <n v="1800"/>
    <n v="20795"/>
    <n v="37431000"/>
    <n v="748638000"/>
    <x v="20"/>
  </r>
  <r>
    <x v="6"/>
    <x v="2"/>
    <x v="70"/>
    <n v="17100"/>
    <n v="2189"/>
    <n v="37431900"/>
    <n v="748638000"/>
    <x v="20"/>
  </r>
  <r>
    <x v="6"/>
    <x v="2"/>
    <x v="67"/>
    <n v="2800"/>
    <n v="13368"/>
    <n v="37430400"/>
    <n v="748638000"/>
    <x v="20"/>
  </r>
  <r>
    <x v="6"/>
    <x v="2"/>
    <x v="71"/>
    <n v="24000"/>
    <n v="1559"/>
    <n v="37416000"/>
    <n v="748638000"/>
    <x v="20"/>
  </r>
  <r>
    <x v="6"/>
    <x v="2"/>
    <x v="67"/>
    <n v="2800"/>
    <n v="13368"/>
    <n v="37430400"/>
    <n v="748638000"/>
    <x v="20"/>
  </r>
  <r>
    <x v="6"/>
    <x v="2"/>
    <x v="72"/>
    <n v="13670"/>
    <n v="2738"/>
    <n v="37428460"/>
    <n v="748638000"/>
    <x v="20"/>
  </r>
  <r>
    <x v="6"/>
    <x v="2"/>
    <x v="67"/>
    <n v="2800"/>
    <n v="13368"/>
    <n v="37430400"/>
    <n v="748638000"/>
    <x v="20"/>
  </r>
  <r>
    <x v="6"/>
    <x v="2"/>
    <x v="73"/>
    <n v="20800"/>
    <n v="1799"/>
    <n v="37419200"/>
    <n v="748638000"/>
    <x v="20"/>
  </r>
  <r>
    <x v="6"/>
    <x v="2"/>
    <x v="67"/>
    <n v="2800"/>
    <n v="13368"/>
    <n v="37430400"/>
    <n v="748638000"/>
    <x v="20"/>
  </r>
  <r>
    <x v="6"/>
    <x v="2"/>
    <x v="74"/>
    <n v="8100"/>
    <n v="4621"/>
    <n v="37430100"/>
    <n v="748638000"/>
    <x v="20"/>
  </r>
  <r>
    <x v="6"/>
    <x v="2"/>
    <x v="67"/>
    <n v="1800"/>
    <n v="20795"/>
    <n v="37431000"/>
    <n v="748638000"/>
    <x v="20"/>
  </r>
  <r>
    <x v="6"/>
    <x v="2"/>
    <x v="75"/>
    <n v="250"/>
    <n v="149727"/>
    <n v="37431750"/>
    <n v="748638000"/>
    <x v="20"/>
  </r>
  <r>
    <x v="6"/>
    <x v="2"/>
    <x v="76"/>
    <n v="72000"/>
    <n v="519"/>
    <n v="37368000"/>
    <n v="748638000"/>
    <x v="20"/>
  </r>
  <r>
    <x v="6"/>
    <x v="2"/>
    <x v="77"/>
    <n v="83000"/>
    <n v="450"/>
    <n v="37350000"/>
    <n v="748638000"/>
    <x v="20"/>
  </r>
  <r>
    <x v="6"/>
    <x v="2"/>
    <x v="78"/>
    <n v="105000"/>
    <n v="358"/>
    <n v="37590000"/>
    <n v="748638000"/>
    <x v="20"/>
  </r>
  <r>
    <x v="7"/>
    <x v="0"/>
    <x v="79"/>
    <n v="950"/>
    <n v="55325"/>
    <n v="52558750"/>
    <n v="893513000"/>
    <x v="21"/>
  </r>
  <r>
    <x v="7"/>
    <x v="0"/>
    <x v="80"/>
    <n v="1100"/>
    <n v="47781"/>
    <n v="52559100"/>
    <n v="893513000"/>
    <x v="21"/>
  </r>
  <r>
    <x v="7"/>
    <x v="0"/>
    <x v="81"/>
    <n v="1250"/>
    <n v="42047"/>
    <n v="52558750"/>
    <n v="893513000"/>
    <x v="21"/>
  </r>
  <r>
    <x v="7"/>
    <x v="0"/>
    <x v="82"/>
    <n v="1300"/>
    <n v="40430"/>
    <n v="52559000"/>
    <n v="893513000"/>
    <x v="21"/>
  </r>
  <r>
    <x v="7"/>
    <x v="0"/>
    <x v="83"/>
    <n v="1350"/>
    <n v="38933"/>
    <n v="52559550"/>
    <n v="893513000"/>
    <x v="21"/>
  </r>
  <r>
    <x v="7"/>
    <x v="0"/>
    <x v="84"/>
    <n v="1450"/>
    <n v="36247"/>
    <n v="52558150"/>
    <n v="893513000"/>
    <x v="21"/>
  </r>
  <r>
    <x v="7"/>
    <x v="0"/>
    <x v="85"/>
    <n v="2000"/>
    <n v="26279"/>
    <n v="52558000"/>
    <n v="893513000"/>
    <x v="21"/>
  </r>
  <r>
    <x v="7"/>
    <x v="0"/>
    <x v="86"/>
    <n v="2200"/>
    <n v="23890"/>
    <n v="52558000"/>
    <n v="893513000"/>
    <x v="21"/>
  </r>
  <r>
    <x v="7"/>
    <x v="0"/>
    <x v="87"/>
    <n v="2300"/>
    <n v="22851"/>
    <n v="52557300"/>
    <n v="893513000"/>
    <x v="21"/>
  </r>
  <r>
    <x v="7"/>
    <x v="0"/>
    <x v="88"/>
    <n v="1800"/>
    <n v="29199"/>
    <n v="52558200"/>
    <n v="893513000"/>
    <x v="21"/>
  </r>
  <r>
    <x v="7"/>
    <x v="0"/>
    <x v="89"/>
    <n v="1700"/>
    <n v="30917"/>
    <n v="52558900"/>
    <n v="893513000"/>
    <x v="21"/>
  </r>
  <r>
    <x v="7"/>
    <x v="0"/>
    <x v="90"/>
    <n v="1900"/>
    <n v="27662"/>
    <n v="52557800"/>
    <n v="893513000"/>
    <x v="21"/>
  </r>
  <r>
    <x v="7"/>
    <x v="0"/>
    <x v="91"/>
    <n v="4000"/>
    <n v="13139"/>
    <n v="52556000"/>
    <n v="893513000"/>
    <x v="21"/>
  </r>
  <r>
    <x v="7"/>
    <x v="0"/>
    <x v="92"/>
    <n v="650"/>
    <n v="80860"/>
    <n v="52559000"/>
    <n v="893513000"/>
    <x v="21"/>
  </r>
  <r>
    <x v="7"/>
    <x v="0"/>
    <x v="93"/>
    <n v="1800"/>
    <n v="29199"/>
    <n v="52558200"/>
    <n v="893513000"/>
    <x v="21"/>
  </r>
  <r>
    <x v="7"/>
    <x v="0"/>
    <x v="94"/>
    <n v="2800"/>
    <n v="18771"/>
    <n v="52558800"/>
    <n v="893513000"/>
    <x v="21"/>
  </r>
  <r>
    <x v="7"/>
    <x v="0"/>
    <x v="95"/>
    <n v="4100"/>
    <n v="12824"/>
    <n v="52578400"/>
    <n v="893513000"/>
    <x v="21"/>
  </r>
  <r>
    <x v="7"/>
    <x v="1"/>
    <x v="79"/>
    <n v="950"/>
    <n v="59339"/>
    <n v="56372050"/>
    <n v="958340000"/>
    <x v="22"/>
  </r>
  <r>
    <x v="7"/>
    <x v="1"/>
    <x v="80"/>
    <n v="1100"/>
    <n v="51248"/>
    <n v="56372800"/>
    <n v="958340000"/>
    <x v="22"/>
  </r>
  <r>
    <x v="7"/>
    <x v="1"/>
    <x v="81"/>
    <n v="1250"/>
    <n v="45098"/>
    <n v="56372500"/>
    <n v="958340000"/>
    <x v="22"/>
  </r>
  <r>
    <x v="7"/>
    <x v="1"/>
    <x v="82"/>
    <n v="1300"/>
    <n v="43363"/>
    <n v="56371900"/>
    <n v="958340000"/>
    <x v="22"/>
  </r>
  <r>
    <x v="7"/>
    <x v="1"/>
    <x v="83"/>
    <n v="1350"/>
    <n v="41757"/>
    <n v="56371950"/>
    <n v="958340000"/>
    <x v="22"/>
  </r>
  <r>
    <x v="7"/>
    <x v="1"/>
    <x v="84"/>
    <n v="1450"/>
    <n v="38877"/>
    <n v="56371650"/>
    <n v="958340000"/>
    <x v="22"/>
  </r>
  <r>
    <x v="7"/>
    <x v="1"/>
    <x v="85"/>
    <n v="2000"/>
    <n v="28186"/>
    <n v="56372000"/>
    <n v="958340000"/>
    <x v="22"/>
  </r>
  <r>
    <x v="7"/>
    <x v="1"/>
    <x v="86"/>
    <n v="2200"/>
    <n v="25624"/>
    <n v="56372800"/>
    <n v="958340000"/>
    <x v="22"/>
  </r>
  <r>
    <x v="7"/>
    <x v="1"/>
    <x v="87"/>
    <n v="2300"/>
    <n v="24509"/>
    <n v="56370700"/>
    <n v="958340000"/>
    <x v="22"/>
  </r>
  <r>
    <x v="7"/>
    <x v="1"/>
    <x v="88"/>
    <n v="1800"/>
    <n v="31318"/>
    <n v="56372400"/>
    <n v="958340000"/>
    <x v="22"/>
  </r>
  <r>
    <x v="7"/>
    <x v="1"/>
    <x v="89"/>
    <n v="1700"/>
    <n v="33160"/>
    <n v="56372000"/>
    <n v="958340000"/>
    <x v="22"/>
  </r>
  <r>
    <x v="7"/>
    <x v="1"/>
    <x v="90"/>
    <n v="1900"/>
    <n v="29669"/>
    <n v="56371100"/>
    <n v="958340000"/>
    <x v="22"/>
  </r>
  <r>
    <x v="7"/>
    <x v="1"/>
    <x v="91"/>
    <n v="4000"/>
    <n v="14093"/>
    <n v="56372000"/>
    <n v="958340000"/>
    <x v="22"/>
  </r>
  <r>
    <x v="7"/>
    <x v="1"/>
    <x v="92"/>
    <n v="650"/>
    <n v="86727"/>
    <n v="56372550"/>
    <n v="958340000"/>
    <x v="22"/>
  </r>
  <r>
    <x v="7"/>
    <x v="1"/>
    <x v="93"/>
    <n v="1800"/>
    <n v="31318"/>
    <n v="56372400"/>
    <n v="958340000"/>
    <x v="22"/>
  </r>
  <r>
    <x v="7"/>
    <x v="1"/>
    <x v="94"/>
    <n v="2800"/>
    <n v="20133"/>
    <n v="56372400"/>
    <n v="958340000"/>
    <x v="22"/>
  </r>
  <r>
    <x v="7"/>
    <x v="1"/>
    <x v="95"/>
    <n v="4100"/>
    <n v="13753"/>
    <n v="56387300"/>
    <n v="958340000"/>
    <x v="22"/>
  </r>
  <r>
    <x v="7"/>
    <x v="2"/>
    <x v="79"/>
    <n v="950"/>
    <n v="226598"/>
    <n v="215268100"/>
    <n v="3659559000"/>
    <x v="23"/>
  </r>
  <r>
    <x v="7"/>
    <x v="2"/>
    <x v="80"/>
    <n v="1100"/>
    <n v="195698"/>
    <n v="215267800"/>
    <n v="3659559000"/>
    <x v="23"/>
  </r>
  <r>
    <x v="7"/>
    <x v="2"/>
    <x v="81"/>
    <n v="1250"/>
    <n v="172214"/>
    <n v="215267500"/>
    <n v="3659559000"/>
    <x v="23"/>
  </r>
  <r>
    <x v="7"/>
    <x v="2"/>
    <x v="82"/>
    <n v="1300"/>
    <n v="165590"/>
    <n v="215267000"/>
    <n v="3659559000"/>
    <x v="23"/>
  </r>
  <r>
    <x v="7"/>
    <x v="2"/>
    <x v="83"/>
    <n v="1350"/>
    <n v="159457"/>
    <n v="215266950"/>
    <n v="3659559000"/>
    <x v="23"/>
  </r>
  <r>
    <x v="7"/>
    <x v="2"/>
    <x v="84"/>
    <n v="1450"/>
    <n v="148460"/>
    <n v="215267000"/>
    <n v="3659559000"/>
    <x v="23"/>
  </r>
  <r>
    <x v="7"/>
    <x v="2"/>
    <x v="85"/>
    <n v="2000"/>
    <n v="107634"/>
    <n v="215268000"/>
    <n v="3659559000"/>
    <x v="23"/>
  </r>
  <r>
    <x v="7"/>
    <x v="2"/>
    <x v="86"/>
    <n v="2200"/>
    <n v="97849"/>
    <n v="215267800"/>
    <n v="3659559000"/>
    <x v="23"/>
  </r>
  <r>
    <x v="7"/>
    <x v="2"/>
    <x v="87"/>
    <n v="2300"/>
    <n v="93594"/>
    <n v="215266200"/>
    <n v="3659559000"/>
    <x v="23"/>
  </r>
  <r>
    <x v="7"/>
    <x v="2"/>
    <x v="88"/>
    <n v="1800"/>
    <n v="119593"/>
    <n v="215267400"/>
    <n v="3659559000"/>
    <x v="23"/>
  </r>
  <r>
    <x v="7"/>
    <x v="2"/>
    <x v="89"/>
    <n v="1700"/>
    <n v="126628"/>
    <n v="215267600"/>
    <n v="3659559000"/>
    <x v="23"/>
  </r>
  <r>
    <x v="7"/>
    <x v="2"/>
    <x v="90"/>
    <n v="1900"/>
    <n v="113299"/>
    <n v="215268100"/>
    <n v="3659559000"/>
    <x v="23"/>
  </r>
  <r>
    <x v="7"/>
    <x v="2"/>
    <x v="91"/>
    <n v="4000"/>
    <n v="53817"/>
    <n v="215268000"/>
    <n v="3659559000"/>
    <x v="23"/>
  </r>
  <r>
    <x v="7"/>
    <x v="2"/>
    <x v="92"/>
    <n v="650"/>
    <n v="331181"/>
    <n v="215267650"/>
    <n v="3659559000"/>
    <x v="23"/>
  </r>
  <r>
    <x v="7"/>
    <x v="2"/>
    <x v="93"/>
    <n v="1800"/>
    <n v="119593"/>
    <n v="215267400"/>
    <n v="3659559000"/>
    <x v="23"/>
  </r>
  <r>
    <x v="7"/>
    <x v="2"/>
    <x v="94"/>
    <n v="2800"/>
    <n v="76881"/>
    <n v="215266800"/>
    <n v="3659559000"/>
    <x v="23"/>
  </r>
  <r>
    <x v="7"/>
    <x v="2"/>
    <x v="95"/>
    <n v="4100"/>
    <n v="52507"/>
    <n v="215278700"/>
    <n v="3659559000"/>
    <x v="23"/>
  </r>
  <r>
    <x v="8"/>
    <x v="0"/>
    <x v="96"/>
    <n v="57480"/>
    <n v="35"/>
    <n v="2011800"/>
    <n v="30538000"/>
    <x v="24"/>
  </r>
  <r>
    <x v="8"/>
    <x v="0"/>
    <x v="97"/>
    <n v="51730"/>
    <n v="39"/>
    <n v="2017470"/>
    <n v="30538000"/>
    <x v="24"/>
  </r>
  <r>
    <x v="8"/>
    <x v="0"/>
    <x v="98"/>
    <n v="45620"/>
    <n v="44"/>
    <n v="2007280"/>
    <n v="30538000"/>
    <x v="24"/>
  </r>
  <r>
    <x v="8"/>
    <x v="0"/>
    <x v="99"/>
    <n v="38960"/>
    <n v="52"/>
    <n v="2025920"/>
    <n v="30538000"/>
    <x v="24"/>
  </r>
  <r>
    <x v="8"/>
    <x v="0"/>
    <x v="100"/>
    <n v="37080"/>
    <n v="54"/>
    <n v="2002320"/>
    <n v="30538000"/>
    <x v="24"/>
  </r>
  <r>
    <x v="8"/>
    <x v="0"/>
    <x v="101"/>
    <n v="36370"/>
    <n v="55"/>
    <n v="2000350"/>
    <n v="30538000"/>
    <x v="24"/>
  </r>
  <r>
    <x v="8"/>
    <x v="0"/>
    <x v="102"/>
    <n v="33110"/>
    <n v="61"/>
    <n v="2019710"/>
    <n v="30538000"/>
    <x v="24"/>
  </r>
  <r>
    <x v="8"/>
    <x v="0"/>
    <x v="97"/>
    <n v="58650"/>
    <n v="34"/>
    <n v="1994100"/>
    <n v="30538000"/>
    <x v="24"/>
  </r>
  <r>
    <x v="8"/>
    <x v="0"/>
    <x v="98"/>
    <n v="52030"/>
    <n v="39"/>
    <n v="2029170"/>
    <n v="30538000"/>
    <x v="24"/>
  </r>
  <r>
    <x v="8"/>
    <x v="0"/>
    <x v="99"/>
    <n v="44100"/>
    <n v="46"/>
    <n v="2028600"/>
    <n v="30538000"/>
    <x v="24"/>
  </r>
  <r>
    <x v="8"/>
    <x v="0"/>
    <x v="100"/>
    <n v="43640"/>
    <n v="46"/>
    <n v="2007440"/>
    <n v="30538000"/>
    <x v="24"/>
  </r>
  <r>
    <x v="8"/>
    <x v="0"/>
    <x v="101"/>
    <n v="41350"/>
    <n v="49"/>
    <n v="2026150"/>
    <n v="30538000"/>
    <x v="24"/>
  </r>
  <r>
    <x v="8"/>
    <x v="0"/>
    <x v="102"/>
    <n v="37640"/>
    <n v="169"/>
    <n v="6361160"/>
    <n v="30538000"/>
    <x v="24"/>
  </r>
  <r>
    <x v="8"/>
    <x v="1"/>
    <x v="96"/>
    <n v="57480"/>
    <n v="22"/>
    <n v="1264560"/>
    <n v="19535000"/>
    <x v="25"/>
  </r>
  <r>
    <x v="8"/>
    <x v="1"/>
    <x v="97"/>
    <n v="51730"/>
    <n v="25"/>
    <n v="1293250"/>
    <n v="19535000"/>
    <x v="25"/>
  </r>
  <r>
    <x v="8"/>
    <x v="1"/>
    <x v="98"/>
    <n v="45620"/>
    <n v="28"/>
    <n v="1277360"/>
    <n v="19535000"/>
    <x v="25"/>
  </r>
  <r>
    <x v="8"/>
    <x v="1"/>
    <x v="99"/>
    <n v="38960"/>
    <n v="33"/>
    <n v="1285680"/>
    <n v="19535000"/>
    <x v="25"/>
  </r>
  <r>
    <x v="8"/>
    <x v="1"/>
    <x v="100"/>
    <n v="37080"/>
    <n v="35"/>
    <n v="1297800"/>
    <n v="19535000"/>
    <x v="25"/>
  </r>
  <r>
    <x v="8"/>
    <x v="1"/>
    <x v="101"/>
    <n v="36370"/>
    <n v="35"/>
    <n v="1272950"/>
    <n v="19535000"/>
    <x v="25"/>
  </r>
  <r>
    <x v="8"/>
    <x v="1"/>
    <x v="102"/>
    <n v="33110"/>
    <n v="39"/>
    <n v="1291290"/>
    <n v="19535000"/>
    <x v="25"/>
  </r>
  <r>
    <x v="8"/>
    <x v="1"/>
    <x v="97"/>
    <n v="58650"/>
    <n v="22"/>
    <n v="1290300"/>
    <n v="19535000"/>
    <x v="25"/>
  </r>
  <r>
    <x v="8"/>
    <x v="1"/>
    <x v="98"/>
    <n v="52030"/>
    <n v="25"/>
    <n v="1300750"/>
    <n v="19535000"/>
    <x v="25"/>
  </r>
  <r>
    <x v="8"/>
    <x v="1"/>
    <x v="99"/>
    <n v="44100"/>
    <n v="29"/>
    <n v="1278900"/>
    <n v="19535000"/>
    <x v="25"/>
  </r>
  <r>
    <x v="8"/>
    <x v="1"/>
    <x v="100"/>
    <n v="43640"/>
    <n v="29"/>
    <n v="1265560"/>
    <n v="19535000"/>
    <x v="25"/>
  </r>
  <r>
    <x v="8"/>
    <x v="1"/>
    <x v="101"/>
    <n v="41350"/>
    <n v="31"/>
    <n v="1281850"/>
    <n v="19535000"/>
    <x v="25"/>
  </r>
  <r>
    <x v="8"/>
    <x v="1"/>
    <x v="102"/>
    <n v="37640"/>
    <n v="109"/>
    <n v="4102760"/>
    <n v="19535000"/>
    <x v="25"/>
  </r>
  <r>
    <x v="8"/>
    <x v="2"/>
    <x v="96"/>
    <n v="57480"/>
    <n v="90"/>
    <n v="5173200"/>
    <n v="78213000"/>
    <x v="26"/>
  </r>
  <r>
    <x v="8"/>
    <x v="2"/>
    <x v="97"/>
    <n v="51730"/>
    <n v="100"/>
    <n v="5173000"/>
    <n v="78213000"/>
    <x v="26"/>
  </r>
  <r>
    <x v="8"/>
    <x v="2"/>
    <x v="98"/>
    <n v="45620"/>
    <n v="114"/>
    <n v="5200680"/>
    <n v="78213000"/>
    <x v="26"/>
  </r>
  <r>
    <x v="8"/>
    <x v="2"/>
    <x v="99"/>
    <n v="38960"/>
    <n v="133"/>
    <n v="5181680"/>
    <n v="78213000"/>
    <x v="26"/>
  </r>
  <r>
    <x v="8"/>
    <x v="2"/>
    <x v="100"/>
    <n v="37080"/>
    <n v="140"/>
    <n v="5191200"/>
    <n v="78213000"/>
    <x v="26"/>
  </r>
  <r>
    <x v="8"/>
    <x v="2"/>
    <x v="101"/>
    <n v="36370"/>
    <n v="143"/>
    <n v="5200910"/>
    <n v="78213000"/>
    <x v="26"/>
  </r>
  <r>
    <x v="8"/>
    <x v="2"/>
    <x v="102"/>
    <n v="33110"/>
    <n v="157"/>
    <n v="5198270"/>
    <n v="78213000"/>
    <x v="26"/>
  </r>
  <r>
    <x v="8"/>
    <x v="2"/>
    <x v="97"/>
    <n v="58650"/>
    <n v="88"/>
    <n v="5161200"/>
    <n v="78213000"/>
    <x v="26"/>
  </r>
  <r>
    <x v="8"/>
    <x v="2"/>
    <x v="98"/>
    <n v="52030"/>
    <n v="100"/>
    <n v="5203000"/>
    <n v="78213000"/>
    <x v="26"/>
  </r>
  <r>
    <x v="8"/>
    <x v="2"/>
    <x v="99"/>
    <n v="44100"/>
    <n v="118"/>
    <n v="5203800"/>
    <n v="78213000"/>
    <x v="26"/>
  </r>
  <r>
    <x v="8"/>
    <x v="2"/>
    <x v="100"/>
    <n v="43640"/>
    <n v="119"/>
    <n v="5193160"/>
    <n v="78213000"/>
    <x v="26"/>
  </r>
  <r>
    <x v="8"/>
    <x v="2"/>
    <x v="101"/>
    <n v="41350"/>
    <n v="126"/>
    <n v="5210100"/>
    <n v="78213000"/>
    <x v="26"/>
  </r>
  <r>
    <x v="8"/>
    <x v="2"/>
    <x v="102"/>
    <n v="37640"/>
    <n v="423"/>
    <n v="15921720"/>
    <n v="78213000"/>
    <x v="26"/>
  </r>
  <r>
    <x v="9"/>
    <x v="0"/>
    <x v="103"/>
    <n v="2000"/>
    <n v="9"/>
    <n v="18000"/>
    <n v="1030000"/>
    <x v="27"/>
  </r>
  <r>
    <x v="9"/>
    <x v="0"/>
    <x v="104"/>
    <n v="18000"/>
    <n v="0"/>
    <n v="0"/>
    <n v="1030000"/>
    <x v="27"/>
  </r>
  <r>
    <x v="9"/>
    <x v="0"/>
    <x v="105"/>
    <n v="2000"/>
    <n v="107"/>
    <n v="214000"/>
    <n v="1030000"/>
    <x v="27"/>
  </r>
  <r>
    <x v="9"/>
    <x v="0"/>
    <x v="106"/>
    <n v="25000"/>
    <n v="4"/>
    <n v="100000"/>
    <n v="1030000"/>
    <x v="27"/>
  </r>
  <r>
    <x v="9"/>
    <x v="0"/>
    <x v="107"/>
    <n v="500"/>
    <n v="261"/>
    <n v="130500"/>
    <n v="1030000"/>
    <x v="27"/>
  </r>
  <r>
    <x v="9"/>
    <x v="0"/>
    <x v="108"/>
    <n v="7000"/>
    <n v="0"/>
    <n v="0"/>
    <n v="1030000"/>
    <x v="27"/>
  </r>
  <r>
    <x v="9"/>
    <x v="0"/>
    <x v="109"/>
    <n v="500"/>
    <n v="744"/>
    <n v="372000"/>
    <n v="1030000"/>
    <x v="27"/>
  </r>
  <r>
    <x v="9"/>
    <x v="0"/>
    <x v="110"/>
    <n v="7000"/>
    <n v="27"/>
    <n v="189000"/>
    <n v="1030000"/>
    <x v="27"/>
  </r>
  <r>
    <x v="9"/>
    <x v="1"/>
    <x v="103"/>
    <n v="2000"/>
    <n v="68"/>
    <n v="136000"/>
    <n v="2164000"/>
    <x v="28"/>
  </r>
  <r>
    <x v="9"/>
    <x v="1"/>
    <x v="104"/>
    <n v="18000"/>
    <n v="7"/>
    <n v="126000"/>
    <n v="2164000"/>
    <x v="28"/>
  </r>
  <r>
    <x v="9"/>
    <x v="1"/>
    <x v="105"/>
    <n v="2000"/>
    <n v="61"/>
    <n v="122000"/>
    <n v="2164000"/>
    <x v="28"/>
  </r>
  <r>
    <x v="9"/>
    <x v="1"/>
    <x v="106"/>
    <n v="25000"/>
    <n v="9"/>
    <n v="225000"/>
    <n v="2164000"/>
    <x v="28"/>
  </r>
  <r>
    <x v="9"/>
    <x v="1"/>
    <x v="107"/>
    <n v="500"/>
    <n v="891"/>
    <n v="445500"/>
    <n v="2164000"/>
    <x v="28"/>
  </r>
  <r>
    <x v="9"/>
    <x v="1"/>
    <x v="108"/>
    <n v="7000"/>
    <n v="48"/>
    <n v="336000"/>
    <n v="2164000"/>
    <x v="28"/>
  </r>
  <r>
    <x v="9"/>
    <x v="1"/>
    <x v="109"/>
    <n v="500"/>
    <n v="413"/>
    <n v="206500"/>
    <n v="2164000"/>
    <x v="28"/>
  </r>
  <r>
    <x v="9"/>
    <x v="1"/>
    <x v="110"/>
    <n v="7000"/>
    <n v="81"/>
    <n v="567000"/>
    <n v="2164000"/>
    <x v="28"/>
  </r>
  <r>
    <x v="9"/>
    <x v="2"/>
    <x v="103"/>
    <n v="2000"/>
    <n v="97"/>
    <n v="194000"/>
    <n v="6268000"/>
    <x v="29"/>
  </r>
  <r>
    <x v="9"/>
    <x v="2"/>
    <x v="104"/>
    <n v="18000"/>
    <n v="24"/>
    <n v="432000"/>
    <n v="6268000"/>
    <x v="29"/>
  </r>
  <r>
    <x v="9"/>
    <x v="2"/>
    <x v="105"/>
    <n v="2000"/>
    <n v="289"/>
    <n v="578000"/>
    <n v="6268000"/>
    <x v="29"/>
  </r>
  <r>
    <x v="9"/>
    <x v="2"/>
    <x v="106"/>
    <n v="25000"/>
    <n v="31"/>
    <n v="775000"/>
    <n v="6268000"/>
    <x v="29"/>
  </r>
  <r>
    <x v="9"/>
    <x v="2"/>
    <x v="107"/>
    <n v="500"/>
    <n v="3905"/>
    <n v="1952500"/>
    <n v="6268000"/>
    <x v="29"/>
  </r>
  <r>
    <x v="9"/>
    <x v="2"/>
    <x v="108"/>
    <n v="7000"/>
    <n v="40"/>
    <n v="280000"/>
    <n v="6268000"/>
    <x v="29"/>
  </r>
  <r>
    <x v="9"/>
    <x v="2"/>
    <x v="109"/>
    <n v="500"/>
    <n v="1832"/>
    <n v="916000"/>
    <n v="6268000"/>
    <x v="29"/>
  </r>
  <r>
    <x v="9"/>
    <x v="2"/>
    <x v="110"/>
    <n v="7000"/>
    <n v="163"/>
    <n v="1141000"/>
    <n v="6268000"/>
    <x v="29"/>
  </r>
  <r>
    <x v="10"/>
    <x v="3"/>
    <x v="111"/>
    <m/>
    <m/>
    <m/>
    <m/>
    <x v="30"/>
  </r>
  <r>
    <x v="10"/>
    <x v="3"/>
    <x v="111"/>
    <m/>
    <m/>
    <m/>
    <m/>
    <x v="30"/>
  </r>
  <r>
    <x v="10"/>
    <x v="3"/>
    <x v="111"/>
    <m/>
    <m/>
    <m/>
    <m/>
    <x v="30"/>
  </r>
  <r>
    <x v="10"/>
    <x v="3"/>
    <x v="111"/>
    <m/>
    <m/>
    <m/>
    <m/>
    <x v="3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91">
  <r>
    <x v="0"/>
    <s v="Древесноволокнистая плита, шлифованная, 16 мм"/>
    <n v="4500"/>
    <n v="154047"/>
    <n v="693211500"/>
    <n v="2750148000"/>
    <n v="202576000"/>
  </r>
  <r>
    <x v="0"/>
    <s v="Древесноволокнистая плита, шлифованная, 18 мм"/>
    <n v="5000"/>
    <n v="109324"/>
    <n v="546620000"/>
    <n v="2750148000"/>
    <n v="202576000"/>
  </r>
  <r>
    <x v="0"/>
    <s v="Древесноволокнистая плита, ламинированная &quot;Дуб&quot;, 16 мм"/>
    <n v="8000"/>
    <n v="84538"/>
    <n v="676304000"/>
    <n v="2750148000"/>
    <n v="202576000"/>
  </r>
  <r>
    <x v="0"/>
    <s v="Древесноволокнистая плита, ламинированная &quot;Белый&quot;, 16 мм"/>
    <n v="8200"/>
    <n v="49693"/>
    <n v="407482600"/>
    <n v="2750148000"/>
    <n v="202576000"/>
  </r>
  <r>
    <x v="0"/>
    <s v="Древесноволокнистая плита, крашенная белая, 19 мм"/>
    <n v="9500"/>
    <n v="27828"/>
    <n v="264366000"/>
    <n v="2750148000"/>
    <n v="202576000"/>
  </r>
  <r>
    <x v="0"/>
    <s v="Древесноволокнистая плита, влагостойкая, 18 мм"/>
    <n v="10000"/>
    <n v="14558"/>
    <n v="145580000"/>
    <n v="2750148000"/>
    <n v="202576000"/>
  </r>
  <r>
    <x v="0"/>
    <s v="Древесноволокнистая плита, фигурная фасадная, 19 мм"/>
    <n v="12500"/>
    <n v="1326"/>
    <n v="16575000"/>
    <n v="2750148000"/>
    <n v="202576000"/>
  </r>
  <r>
    <x v="1"/>
    <s v="Древесноволокнистая плита, шлифованная, 16 мм"/>
    <n v="4700"/>
    <n v="83772"/>
    <n v="393728400"/>
    <n v="1466712000"/>
    <n v="681559000"/>
  </r>
  <r>
    <x v="1"/>
    <s v="Древесноволокнистая плита, шлифованная, 18 мм"/>
    <n v="5200"/>
    <n v="60502"/>
    <n v="314610400"/>
    <n v="1466712000"/>
    <n v="681559000"/>
  </r>
  <r>
    <x v="1"/>
    <s v="Древесноволокнистая плита, ламинированная &quot;Дуб&quot;, 16 мм"/>
    <n v="8300"/>
    <n v="46540"/>
    <n v="386282000"/>
    <n v="1466712000"/>
    <n v="681559000"/>
  </r>
  <r>
    <x v="1"/>
    <s v="Древесноволокнистая плита, ламинированная &quot;Белый&quot;, 16 мм"/>
    <n v="8500"/>
    <n v="23270"/>
    <n v="197795000"/>
    <n v="1466712000"/>
    <n v="681559000"/>
  </r>
  <r>
    <x v="1"/>
    <s v="Древесноволокнистая плита, крашенная белая, 19 мм"/>
    <n v="9800"/>
    <n v="11170"/>
    <n v="109466000"/>
    <n v="1466712000"/>
    <n v="681559000"/>
  </r>
  <r>
    <x v="1"/>
    <s v="Древесноволокнистая плита, влагостойкая, 18 мм"/>
    <n v="10200"/>
    <n v="5167"/>
    <n v="52703400"/>
    <n v="1466712000"/>
    <n v="681559000"/>
  </r>
  <r>
    <x v="1"/>
    <s v="Древесноволокнистая плита, фигурная фасадная, 19 мм"/>
    <n v="13000"/>
    <n v="931"/>
    <n v="12103000"/>
    <n v="1466712000"/>
    <n v="681559000"/>
  </r>
  <r>
    <x v="2"/>
    <s v="Древесноволокнистая плита, шлифованная, 16 мм"/>
    <n v="4800"/>
    <n v="72437"/>
    <n v="347697600"/>
    <n v="1156276000"/>
    <n v="717073000"/>
  </r>
  <r>
    <x v="2"/>
    <s v="Древесноволокнистая плита, шлифованная, 18 мм"/>
    <n v="5300"/>
    <n v="53121"/>
    <n v="281541300"/>
    <n v="1156276000"/>
    <n v="717073000"/>
  </r>
  <r>
    <x v="2"/>
    <s v="Древесноволокнистая плита, ламинированная &quot;Дуб&quot;, 16 мм"/>
    <n v="8500"/>
    <n v="33804"/>
    <n v="287334000"/>
    <n v="1156276000"/>
    <n v="717073000"/>
  </r>
  <r>
    <x v="2"/>
    <s v="Древесноволокнистая плита, ламинированная &quot;Белый&quot;, 16 мм"/>
    <n v="8700"/>
    <n v="14487"/>
    <n v="126036900"/>
    <n v="1156276000"/>
    <n v="717073000"/>
  </r>
  <r>
    <x v="2"/>
    <s v="Древесноволокнистая плита, крашенная белая, 19 мм"/>
    <n v="10000"/>
    <n v="5795"/>
    <n v="57950000"/>
    <n v="1156276000"/>
    <n v="717073000"/>
  </r>
  <r>
    <x v="2"/>
    <s v="Древесноволокнистая плита, влагостойкая, 18 мм"/>
    <n v="10500"/>
    <n v="4394"/>
    <n v="46137000"/>
    <n v="1156276000"/>
    <n v="717073000"/>
  </r>
  <r>
    <x v="2"/>
    <s v="Древесноволокнистая плита, фигурная фасадная, 19 мм"/>
    <n v="13200"/>
    <n v="724"/>
    <n v="9556800"/>
    <n v="1156276000"/>
    <n v="717073000"/>
  </r>
  <r>
    <x v="0"/>
    <s v="Брус клееный 100x100 мм"/>
    <n v="18478"/>
    <n v="11942"/>
    <n v="220664276"/>
    <n v="1155052000"/>
    <n v="103569000"/>
  </r>
  <r>
    <x v="0"/>
    <s v="Доска строганная 50x150x6000 мм"/>
    <n v="9788"/>
    <n v="14458"/>
    <n v="141514904"/>
    <n v="1155052000"/>
    <n v="103569000"/>
  </r>
  <r>
    <x v="0"/>
    <s v="Оцилиндрованное бревно 240 мм"/>
    <n v="11189"/>
    <n v="17121"/>
    <n v="191566869"/>
    <n v="1155052000"/>
    <n v="103569000"/>
  </r>
  <r>
    <x v="0"/>
    <s v="Имитация бруса 21x146 мм"/>
    <n v="6492"/>
    <n v="30533"/>
    <n v="198220236"/>
    <n v="1155052000"/>
    <n v="103569000"/>
  </r>
  <r>
    <x v="0"/>
    <s v="Вагонка Штиль 12,5x96 мм"/>
    <n v="5193"/>
    <n v="36620"/>
    <n v="190167660"/>
    <n v="1155052000"/>
    <n v="103569000"/>
  </r>
  <r>
    <x v="0"/>
    <s v="Блок-Хаус 36x190 мм"/>
    <n v="8090"/>
    <n v="24065"/>
    <n v="194685850"/>
    <n v="1155052000"/>
    <n v="103569000"/>
  </r>
  <r>
    <x v="0"/>
    <s v="Мебельный щит из сосны 40x600x1200 мм"/>
    <n v="4296"/>
    <n v="4244"/>
    <n v="18232224"/>
    <n v="1155052000"/>
    <n v="103569000"/>
  </r>
  <r>
    <x v="1"/>
    <s v="Брус клееный 100x100 мм"/>
    <n v="19200"/>
    <n v="15970"/>
    <n v="306624000"/>
    <n v="1568018000"/>
    <n v="133969000"/>
  </r>
  <r>
    <x v="1"/>
    <s v="Доска строганная 50x150x6000 мм"/>
    <n v="10500"/>
    <n v="19899"/>
    <n v="208939500"/>
    <n v="1568018000"/>
    <n v="133969000"/>
  </r>
  <r>
    <x v="1"/>
    <s v="Оцилиндрованное бревно 240 мм"/>
    <n v="11800"/>
    <n v="22819"/>
    <n v="269264200"/>
    <n v="1568018000"/>
    <n v="133969000"/>
  </r>
  <r>
    <x v="1"/>
    <s v="Имитация бруса 21x146 мм"/>
    <n v="6900"/>
    <n v="37156"/>
    <n v="256376400"/>
    <n v="1568018000"/>
    <n v="133969000"/>
  </r>
  <r>
    <x v="1"/>
    <s v="Вагонка Штиль 12,5x96 мм"/>
    <n v="5500"/>
    <n v="45999"/>
    <n v="252994500"/>
    <n v="1568018000"/>
    <n v="133969000"/>
  </r>
  <r>
    <x v="1"/>
    <s v="Блок-Хаус 36x190 мм"/>
    <n v="8600"/>
    <n v="28749"/>
    <n v="247241400"/>
    <n v="1568018000"/>
    <n v="133969000"/>
  </r>
  <r>
    <x v="1"/>
    <s v="Мебельный щит из сосны 40x600x1200 мм"/>
    <n v="4600"/>
    <n v="5774"/>
    <n v="26560400"/>
    <n v="1568018000"/>
    <n v="133969000"/>
  </r>
  <r>
    <x v="2"/>
    <s v="Брус клееный 100x100 мм"/>
    <n v="20000"/>
    <n v="19365"/>
    <n v="387300000"/>
    <n v="1992795000"/>
    <n v="78763000"/>
  </r>
  <r>
    <x v="2"/>
    <s v="Доска строганная 50x150x6000 мм"/>
    <n v="11200"/>
    <n v="24099"/>
    <n v="269908800"/>
    <n v="1992795000"/>
    <n v="78763000"/>
  </r>
  <r>
    <x v="2"/>
    <s v="Оцилиндрованное бревно 240 мм"/>
    <n v="12500"/>
    <n v="27541"/>
    <n v="344262500"/>
    <n v="1992795000"/>
    <n v="78763000"/>
  </r>
  <r>
    <x v="2"/>
    <s v="Имитация бруса 21x146 мм"/>
    <n v="7400"/>
    <n v="43034"/>
    <n v="318451600"/>
    <n v="1992795000"/>
    <n v="78763000"/>
  </r>
  <r>
    <x v="2"/>
    <s v="Вагонка Штиль 12,5x96 мм"/>
    <n v="5800"/>
    <n v="55944"/>
    <n v="324475200"/>
    <n v="1992795000"/>
    <n v="78763000"/>
  </r>
  <r>
    <x v="2"/>
    <s v="Блок-Хаус 36x190 мм"/>
    <n v="9100"/>
    <n v="34427"/>
    <n v="313285700"/>
    <n v="1992795000"/>
    <n v="78763000"/>
  </r>
  <r>
    <x v="2"/>
    <s v="Мебельный щит из сосны 40x600x1200 мм"/>
    <n v="4900"/>
    <n v="7164"/>
    <n v="35103600"/>
    <n v="1992795000"/>
    <n v="78763000"/>
  </r>
  <r>
    <x v="0"/>
    <s v="Брус сухой строганный 100x100x6000 мм"/>
    <n v="16500"/>
    <n v="35896"/>
    <n v="592284000"/>
    <n v="2946303000"/>
    <n v="431400000"/>
  </r>
  <r>
    <x v="0"/>
    <s v="Брус сухой строганный 150x150x6000 мм"/>
    <n v="24000"/>
    <n v="20782"/>
    <n v="498768000"/>
    <n v="2946303000"/>
    <n v="431400000"/>
  </r>
  <r>
    <x v="0"/>
    <s v="Доска сухая строганная 50x150x6000 мм"/>
    <n v="11200"/>
    <n v="33062"/>
    <n v="370294400"/>
    <n v="2946303000"/>
    <n v="431400000"/>
  </r>
  <r>
    <x v="0"/>
    <s v="Доска сухая строганная 25x150x6000 мм"/>
    <n v="8500"/>
    <n v="40101"/>
    <n v="340858500"/>
    <n v="2946303000"/>
    <n v="431400000"/>
  </r>
  <r>
    <x v="0"/>
    <s v="Террасная доска из лиственницы 27x145 мм"/>
    <n v="13500"/>
    <n v="16170"/>
    <n v="218295000"/>
    <n v="2946303000"/>
    <n v="431400000"/>
  </r>
  <r>
    <x v="0"/>
    <s v="Планкен фасадный из лиственницы 20x70 мм"/>
    <n v="12800"/>
    <n v="15114"/>
    <n v="193459200"/>
    <n v="2946303000"/>
    <n v="431400000"/>
  </r>
  <r>
    <x v="0"/>
    <s v="Имитация бруса 21x146 мм"/>
    <n v="9200"/>
    <n v="18893"/>
    <n v="173815600"/>
    <n v="2946303000"/>
    <n v="431400000"/>
  </r>
  <r>
    <x v="0"/>
    <s v="Вагонка евро 12.5x96 мм"/>
    <n v="7800"/>
    <n v="18893"/>
    <n v="147365400"/>
    <n v="2946303000"/>
    <n v="431400000"/>
  </r>
  <r>
    <x v="0"/>
    <s v="Блок-Хаус 28x190 мм"/>
    <n v="10500"/>
    <n v="13225"/>
    <n v="138862500"/>
    <n v="2946303000"/>
    <n v="431400000"/>
  </r>
  <r>
    <x v="0"/>
    <s v="Доска пола шпунтованная 36x135 мм"/>
    <n v="12200"/>
    <n v="10391"/>
    <n v="126770200"/>
    <n v="2946303000"/>
    <n v="431400000"/>
  </r>
  <r>
    <x v="0"/>
    <s v="Мебельный щит 40x600x1200 мм"/>
    <n v="5600"/>
    <n v="14169"/>
    <n v="79346400"/>
    <n v="2946303000"/>
    <n v="431400000"/>
  </r>
  <r>
    <x v="0"/>
    <s v="Рейка обрешетки 30x50 мм"/>
    <n v="3500"/>
    <n v="18893"/>
    <n v="66125500"/>
    <n v="2946303000"/>
    <n v="431400000"/>
  </r>
  <r>
    <x v="1"/>
    <s v="Брус сухой строганный 100x100x6000 мм"/>
    <n v="17200"/>
    <n v="38132"/>
    <n v="655870400"/>
    <n v="3387456000"/>
    <n v="544435000"/>
  </r>
  <r>
    <x v="1"/>
    <s v="Брус сухой строганный 150x150x6000 мм"/>
    <n v="25000"/>
    <n v="23568"/>
    <n v="589200000"/>
    <n v="3387456000"/>
    <n v="544435000"/>
  </r>
  <r>
    <x v="1"/>
    <s v="Доска сухая строганная 50x150x6000 мм"/>
    <n v="11800"/>
    <n v="36316"/>
    <n v="428528800"/>
    <n v="3387456000"/>
    <n v="544435000"/>
  </r>
  <r>
    <x v="1"/>
    <s v="Доска сухая строганная 25x150x6000 мм"/>
    <n v="8900"/>
    <n v="40856"/>
    <n v="363618400"/>
    <n v="3387456000"/>
    <n v="544435000"/>
  </r>
  <r>
    <x v="1"/>
    <s v="Террасная доска из лиственницы 27x145 мм"/>
    <n v="14200"/>
    <n v="19066"/>
    <n v="270737200"/>
    <n v="3387456000"/>
    <n v="544435000"/>
  </r>
  <r>
    <x v="1"/>
    <s v="Планкен фасадный из лиственницы 20x70 мм"/>
    <n v="13500"/>
    <n v="16342"/>
    <n v="220617000"/>
    <n v="3387456000"/>
    <n v="544435000"/>
  </r>
  <r>
    <x v="1"/>
    <s v="Имитация бруса 21x146 мм"/>
    <n v="9700"/>
    <n v="19974"/>
    <n v="193747800"/>
    <n v="3387456000"/>
    <n v="544435000"/>
  </r>
  <r>
    <x v="1"/>
    <s v="Вагонка евро 12.5x96 мм"/>
    <n v="8200"/>
    <n v="20882"/>
    <n v="171232400"/>
    <n v="3387456000"/>
    <n v="544435000"/>
  </r>
  <r>
    <x v="1"/>
    <s v="Блок-Хаус 28x190 мм"/>
    <n v="11100"/>
    <n v="14526"/>
    <n v="161238600"/>
    <n v="3387456000"/>
    <n v="544435000"/>
  </r>
  <r>
    <x v="1"/>
    <s v="Доска пола шпунтованная 36x135 мм"/>
    <n v="12900"/>
    <n v="11803"/>
    <n v="152258700"/>
    <n v="3387456000"/>
    <n v="544435000"/>
  </r>
  <r>
    <x v="1"/>
    <s v="Мебельный щит 40x600x1200 мм"/>
    <n v="5900"/>
    <n v="16342"/>
    <n v="96417800"/>
    <n v="3387456000"/>
    <n v="544435000"/>
  </r>
  <r>
    <x v="1"/>
    <s v="Рейка обрешетки 30x50 мм"/>
    <n v="3700"/>
    <n v="22698"/>
    <n v="83982600"/>
    <n v="3387456000"/>
    <n v="544435000"/>
  </r>
  <r>
    <x v="2"/>
    <s v="Брус сухой строганный 100x100x6000 мм"/>
    <n v="18000"/>
    <n v="41253"/>
    <n v="742554000"/>
    <n v="4246648000"/>
    <n v="441191000"/>
  </r>
  <r>
    <x v="2"/>
    <s v="Брус сухой строганный 150x150x6000 мм"/>
    <n v="26200"/>
    <n v="27502"/>
    <n v="720552400"/>
    <n v="4246648000"/>
    <n v="441191000"/>
  </r>
  <r>
    <x v="2"/>
    <s v="Доска сухая строганная 50x150x6000 мм"/>
    <n v="12500"/>
    <n v="41253"/>
    <n v="515662500"/>
    <n v="4246648000"/>
    <n v="441191000"/>
  </r>
  <r>
    <x v="2"/>
    <s v="Доска сухая строганная 25x150x6000 мм"/>
    <n v="9400"/>
    <n v="47151"/>
    <n v="443219400"/>
    <n v="4246648000"/>
    <n v="441191000"/>
  </r>
  <r>
    <x v="2"/>
    <s v="Террасная доска из лиственницы 27x145 мм"/>
    <n v="15000"/>
    <n v="24064"/>
    <n v="360960000"/>
    <n v="4246648000"/>
    <n v="441191000"/>
  </r>
  <r>
    <x v="2"/>
    <s v="Планкен фасадный из лиственницы 20x70 мм"/>
    <n v="14200"/>
    <n v="21486"/>
    <n v="305101200"/>
    <n v="4246648000"/>
    <n v="441191000"/>
  </r>
  <r>
    <x v="2"/>
    <s v="Имитация бруса 21x146 мм"/>
    <n v="10300"/>
    <n v="24064"/>
    <n v="247859200"/>
    <n v="4246648000"/>
    <n v="441191000"/>
  </r>
  <r>
    <x v="2"/>
    <s v="Вагонка евро 12.5x96 мм"/>
    <n v="8700"/>
    <n v="25783"/>
    <n v="224312100"/>
    <n v="4246648000"/>
    <n v="441191000"/>
  </r>
  <r>
    <x v="2"/>
    <s v="Блок-Хаус 28x190 мм"/>
    <n v="11800"/>
    <n v="18908"/>
    <n v="223114400"/>
    <n v="4246648000"/>
    <n v="441191000"/>
  </r>
  <r>
    <x v="2"/>
    <s v="Доска пола шпунтованная 36x135 мм"/>
    <n v="13600"/>
    <n v="15470"/>
    <n v="210392000"/>
    <n v="4246648000"/>
    <n v="441191000"/>
  </r>
  <r>
    <x v="2"/>
    <s v="Мебельный щит 40x600x1200 мм"/>
    <n v="6300"/>
    <n v="21486"/>
    <n v="135361800"/>
    <n v="4246648000"/>
    <n v="441191000"/>
  </r>
  <r>
    <x v="2"/>
    <s v="Рейка обрешетки 30x50 мм"/>
    <n v="3900"/>
    <n v="30080"/>
    <n v="117312000"/>
    <n v="4246648000"/>
    <n v="441191000"/>
  </r>
  <r>
    <x v="0"/>
    <s v="Брус клееный 100x100x6000 мм"/>
    <n v="18500"/>
    <n v="45833"/>
    <n v="847910500"/>
    <n v="3863261000"/>
    <n v="185620000"/>
  </r>
  <r>
    <x v="0"/>
    <s v="Брус клееный 150x150x6000 мм"/>
    <n v="26000"/>
    <n v="28519"/>
    <n v="741494000"/>
    <n v="3863261000"/>
    <n v="185620000"/>
  </r>
  <r>
    <x v="0"/>
    <s v="Домокомплект &quot;Дачный&quot; (каркас)"/>
    <n v="850000"/>
    <n v="387"/>
    <n v="328950000"/>
    <n v="3863261000"/>
    <n v="185620000"/>
  </r>
  <r>
    <x v="0"/>
    <s v="Домокомплект &quot;Баня&quot; (сруб)"/>
    <n v="650000"/>
    <n v="428"/>
    <n v="278200000"/>
    <n v="3863261000"/>
    <n v="185620000"/>
  </r>
  <r>
    <x v="0"/>
    <s v="Доска строганная 50x150x6000 мм"/>
    <n v="10200"/>
    <n v="12307"/>
    <n v="125531400"/>
    <n v="3863261000"/>
    <n v="185620000"/>
  </r>
  <r>
    <x v="0"/>
    <s v="Балка клееная 100x200x6000 мм"/>
    <n v="32000"/>
    <n v="6620"/>
    <n v="211840000"/>
    <n v="3863261000"/>
    <n v="185620000"/>
  </r>
  <r>
    <x v="0"/>
    <s v="Оконный брус клееный"/>
    <n v="12500"/>
    <n v="16296"/>
    <n v="203700000"/>
    <n v="3863261000"/>
    <n v="185620000"/>
  </r>
  <r>
    <x v="0"/>
    <s v="Домокомплект &quot;Гостевой дом&quot;"/>
    <n v="1200000"/>
    <n v="163"/>
    <n v="195600000"/>
    <n v="3863261000"/>
    <n v="185620000"/>
  </r>
  <r>
    <x v="0"/>
    <s v="Стропильная система (КДК)"/>
    <n v="180000"/>
    <n v="968"/>
    <n v="174240000"/>
    <n v="3863261000"/>
    <n v="185620000"/>
  </r>
  <r>
    <x v="0"/>
    <s v="Панель стеновая СИП"/>
    <n v="8500"/>
    <n v="18333"/>
    <n v="155830500"/>
    <n v="3863261000"/>
    <n v="185620000"/>
  </r>
  <r>
    <x v="0"/>
    <s v="Имитация бруса 21x146 мм"/>
    <n v="7800"/>
    <n v="15278"/>
    <n v="119168400"/>
    <n v="3863261000"/>
    <n v="185620000"/>
  </r>
  <r>
    <x v="0"/>
    <s v="Террасная доска 45x145 мм"/>
    <n v="12800"/>
    <n v="8657"/>
    <n v="110809600"/>
    <n v="3863261000"/>
    <n v="185620000"/>
  </r>
  <r>
    <x v="0"/>
    <s v="Блок-Хаус 28x190 мм"/>
    <n v="9600"/>
    <n v="9167"/>
    <n v="88003200"/>
    <n v="3863261000"/>
    <n v="185620000"/>
  </r>
  <r>
    <x v="0"/>
    <s v="Вагонка евро 12.5x96 мм"/>
    <n v="6900"/>
    <n v="11204"/>
    <n v="77307600"/>
    <n v="3863261000"/>
    <n v="185620000"/>
  </r>
  <r>
    <x v="0"/>
    <s v="Арка клееная (КДК)"/>
    <n v="85000"/>
    <n v="815"/>
    <n v="69275000"/>
    <n v="3863261000"/>
    <n v="185620000"/>
  </r>
  <r>
    <x v="0"/>
    <s v="Лестница деревянная (КДК)"/>
    <n v="120000"/>
    <n v="458"/>
    <n v="54960000"/>
    <n v="3863261000"/>
    <n v="185620000"/>
  </r>
  <r>
    <x v="0"/>
    <s v="Колонна декоративная (КДК)"/>
    <n v="95000"/>
    <n v="509"/>
    <n v="48355000"/>
    <n v="3863261000"/>
    <n v="185620000"/>
  </r>
  <r>
    <x v="0"/>
    <s v="Ферма клееная 12м (КДК)"/>
    <n v="450000"/>
    <n v="71"/>
    <n v="31950000"/>
    <n v="3863261000"/>
    <n v="185620000"/>
  </r>
  <r>
    <x v="1"/>
    <s v="Брус клееный 100x100x6000 мм"/>
    <n v="19200"/>
    <n v="43287"/>
    <n v="831110400"/>
    <n v="4596643000"/>
    <n v="544978000"/>
  </r>
  <r>
    <x v="1"/>
    <s v="Брус клееный 150x150x6000 мм"/>
    <n v="27000"/>
    <n v="6754"/>
    <n v="182358000"/>
    <n v="4596643000"/>
    <n v="544978000"/>
  </r>
  <r>
    <x v="1"/>
    <s v="Домокомплект &quot;Дачный&quot; (каркас)"/>
    <n v="890000"/>
    <n v="501"/>
    <n v="445890000"/>
    <n v="4596643000"/>
    <n v="544978000"/>
  </r>
  <r>
    <x v="1"/>
    <s v="Домокомплект &quot;Баня&quot; (сруб)"/>
    <n v="680000"/>
    <n v="540"/>
    <n v="367200000"/>
    <n v="4596643000"/>
    <n v="544978000"/>
  </r>
  <r>
    <x v="1"/>
    <s v="Доска строганная 50x150x6000 мм"/>
    <n v="10700"/>
    <n v="29958"/>
    <n v="320550600"/>
    <n v="4596643000"/>
    <n v="544978000"/>
  </r>
  <r>
    <x v="1"/>
    <s v="Балка клееная 100x200x6000 мм"/>
    <n v="33500"/>
    <n v="8545"/>
    <n v="286257500"/>
    <n v="4596643000"/>
    <n v="544978000"/>
  </r>
  <r>
    <x v="1"/>
    <s v="Оконный брус клееный"/>
    <n v="13100"/>
    <n v="19582"/>
    <n v="256524200"/>
    <n v="4596643000"/>
    <n v="544978000"/>
  </r>
  <r>
    <x v="1"/>
    <s v="Домокомплект &quot;Гостевой дом&quot;"/>
    <n v="1260000"/>
    <n v="306"/>
    <n v="385560000"/>
    <n v="4596643000"/>
    <n v="544978000"/>
  </r>
  <r>
    <x v="1"/>
    <s v="Стропильная система (КДК)"/>
    <n v="189000"/>
    <n v="1237"/>
    <n v="233793000"/>
    <n v="4596643000"/>
    <n v="544978000"/>
  </r>
  <r>
    <x v="1"/>
    <s v="Панель стеновая СИП"/>
    <n v="8900"/>
    <n v="23746"/>
    <n v="211339400"/>
    <n v="4596643000"/>
    <n v="544978000"/>
  </r>
  <r>
    <x v="1"/>
    <s v="Имитация бруса 21x146 мм"/>
    <n v="8200"/>
    <n v="19582"/>
    <n v="160572400"/>
    <n v="4596643000"/>
    <n v="544978000"/>
  </r>
  <r>
    <x v="1"/>
    <s v="Террасная доска 45x145 мм"/>
    <n v="13400"/>
    <n v="22437"/>
    <n v="300655800"/>
    <n v="4596643000"/>
    <n v="544978000"/>
  </r>
  <r>
    <x v="1"/>
    <s v="Блок-Хаус 28x190 мм"/>
    <n v="10100"/>
    <n v="12368"/>
    <n v="124916800"/>
    <n v="4596643000"/>
    <n v="544978000"/>
  </r>
  <r>
    <x v="1"/>
    <s v="Вагонка евро 12.5x96 мм"/>
    <n v="7250"/>
    <n v="16480"/>
    <n v="119480000"/>
    <n v="4596643000"/>
    <n v="544978000"/>
  </r>
  <r>
    <x v="1"/>
    <s v="Арка клееная (КДК)"/>
    <n v="89000"/>
    <n v="1134"/>
    <n v="100926000"/>
    <n v="4596643000"/>
    <n v="544978000"/>
  </r>
  <r>
    <x v="1"/>
    <s v="Лестница деревянная (КДК)"/>
    <n v="126000"/>
    <n v="1021"/>
    <n v="128646000"/>
    <n v="4596643000"/>
    <n v="544978000"/>
  </r>
  <r>
    <x v="1"/>
    <s v="Колонна декоративная (КДК)"/>
    <n v="100000"/>
    <n v="821"/>
    <n v="82100000"/>
    <n v="4596643000"/>
    <n v="544978000"/>
  </r>
  <r>
    <x v="1"/>
    <s v="Ферма клееная 12м (КДК)"/>
    <n v="472000"/>
    <n v="124"/>
    <n v="58528000"/>
    <n v="4596643000"/>
    <n v="544978000"/>
  </r>
  <r>
    <x v="2"/>
    <s v="Брус клееный 100x100x6000 мм"/>
    <n v="20000"/>
    <n v="47246"/>
    <n v="944920000"/>
    <n v="5511710000"/>
    <n v="222297000"/>
  </r>
  <r>
    <x v="2"/>
    <s v="Брус клееный 150x150x6000 мм"/>
    <n v="28200"/>
    <n v="31790"/>
    <n v="896478000"/>
    <n v="5511710000"/>
    <n v="222297000"/>
  </r>
  <r>
    <x v="2"/>
    <s v="Домокомплект &quot;Дачный&quot; (каркас)"/>
    <n v="930000"/>
    <n v="563"/>
    <n v="523590000"/>
    <n v="5511710000"/>
    <n v="222297000"/>
  </r>
  <r>
    <x v="2"/>
    <s v="Домокомплект &quot;Баня&quot; (сруб)"/>
    <n v="710000"/>
    <n v="581"/>
    <n v="412510000"/>
    <n v="5511710000"/>
    <n v="222297000"/>
  </r>
  <r>
    <x v="2"/>
    <s v="Доска строганная 50x150x6000 мм"/>
    <n v="11200"/>
    <n v="31800"/>
    <n v="356160000"/>
    <n v="5511710000"/>
    <n v="222297000"/>
  </r>
  <r>
    <x v="2"/>
    <s v="Балка клееная 100x200x6000 мм"/>
    <n v="35000"/>
    <n v="9086"/>
    <n v="318010000"/>
    <n v="5511710000"/>
    <n v="222297000"/>
  </r>
  <r>
    <x v="2"/>
    <s v="Оконный брус клееный"/>
    <n v="13800"/>
    <n v="21806"/>
    <n v="300922800"/>
    <n v="5511710000"/>
    <n v="222297000"/>
  </r>
  <r>
    <x v="2"/>
    <s v="Домокомплект &quot;Гостевой дом&quot;"/>
    <n v="1320000"/>
    <n v="154"/>
    <n v="203280000"/>
    <n v="5511710000"/>
    <n v="222297000"/>
  </r>
  <r>
    <x v="2"/>
    <s v="Стропильная система (КДК)"/>
    <n v="198000"/>
    <n v="1364"/>
    <n v="270072000"/>
    <n v="5511710000"/>
    <n v="222297000"/>
  </r>
  <r>
    <x v="2"/>
    <s v="Панель стеновая СИП"/>
    <n v="9350"/>
    <n v="25440"/>
    <n v="237864000"/>
    <n v="5511710000"/>
    <n v="222297000"/>
  </r>
  <r>
    <x v="2"/>
    <s v="Имитация бруса 21x146 мм"/>
    <n v="8600"/>
    <n v="22714"/>
    <n v="195340400"/>
    <n v="5511710000"/>
    <n v="222297000"/>
  </r>
  <r>
    <x v="2"/>
    <s v="Террасная доска 45x145 мм"/>
    <n v="14100"/>
    <n v="12720"/>
    <n v="179352000"/>
    <n v="5511710000"/>
    <n v="222297000"/>
  </r>
  <r>
    <x v="2"/>
    <s v="Блок-Хаус 28x190 мм"/>
    <n v="10600"/>
    <n v="14537"/>
    <n v="154092200"/>
    <n v="5511710000"/>
    <n v="222297000"/>
  </r>
  <r>
    <x v="2"/>
    <s v="Вагонка евро 12.5x96 мм"/>
    <n v="7600"/>
    <n v="19080"/>
    <n v="145008000"/>
    <n v="5511710000"/>
    <n v="222297000"/>
  </r>
  <r>
    <x v="2"/>
    <s v="Арка клееная (КДК)"/>
    <n v="93500"/>
    <n v="1272"/>
    <n v="118932000"/>
    <n v="5511710000"/>
    <n v="222297000"/>
  </r>
  <r>
    <x v="2"/>
    <s v="Лестница деревянная (КДК)"/>
    <n v="132000"/>
    <n v="772"/>
    <n v="101904000"/>
    <n v="5511710000"/>
    <n v="222297000"/>
  </r>
  <r>
    <x v="2"/>
    <s v="Колонна декоративная (КДК)"/>
    <n v="105000"/>
    <n v="818"/>
    <n v="85890000"/>
    <n v="5511710000"/>
    <n v="222297000"/>
  </r>
  <r>
    <x v="2"/>
    <s v="Ферма клееная 12м (КДК)"/>
    <n v="495000"/>
    <n v="136"/>
    <n v="67320000"/>
    <n v="5511710000"/>
    <n v="222297000"/>
  </r>
  <r>
    <x v="0"/>
    <s v="Целлюлоза беленая хвойная"/>
    <n v="85000"/>
    <n v="633695"/>
    <n v="53864075000"/>
    <n v="183702186000"/>
    <n v="57784864000"/>
  </r>
  <r>
    <x v="0"/>
    <s v="Целлюлоза беленая лиственная"/>
    <n v="78000"/>
    <n v="439623"/>
    <n v="34290594000"/>
    <n v="183702186000"/>
    <n v="57784864000"/>
  </r>
  <r>
    <x v="0"/>
    <s v="Картон гофрированный"/>
    <n v="65000"/>
    <n v="371000"/>
    <n v="24115000000"/>
    <n v="183702186000"/>
    <n v="57784864000"/>
  </r>
  <r>
    <x v="0"/>
    <s v="Бумага газетная"/>
    <n v="55000"/>
    <n v="214900"/>
    <n v="11819500000"/>
    <n v="183702186000"/>
    <n v="57784864000"/>
  </r>
  <r>
    <x v="0"/>
    <s v="Бумага офсетная"/>
    <n v="70000"/>
    <n v="146039"/>
    <n v="10222730000"/>
    <n v="183702186000"/>
    <n v="57784864000"/>
  </r>
  <r>
    <x v="0"/>
    <s v="Древесная масса"/>
    <n v="35000"/>
    <n v="273362"/>
    <n v="9567670000"/>
    <n v="183702186000"/>
    <n v="57784864000"/>
  </r>
  <r>
    <x v="0"/>
    <s v="Гофротара (ящики)"/>
    <n v="95000"/>
    <n v="87920"/>
    <n v="8352400000"/>
    <n v="183702186000"/>
    <n v="57784864000"/>
  </r>
  <r>
    <x v="0"/>
    <s v="Целлюлоза сульфатная небеленая"/>
    <n v="60000"/>
    <n v="127002"/>
    <n v="7620120000"/>
    <n v="183702186000"/>
    <n v="57784864000"/>
  </r>
  <r>
    <x v="0"/>
    <s v="Упаковка картонная потребительская"/>
    <n v="110000"/>
    <n v="63401"/>
    <n v="6974110000"/>
    <n v="183702186000"/>
    <n v="57784864000"/>
  </r>
  <r>
    <x v="0"/>
    <s v="Бумага мелованная"/>
    <n v="82000"/>
    <n v="78155"/>
    <n v="6408710000"/>
    <n v="183702186000"/>
    <n v="57784864000"/>
  </r>
  <r>
    <x v="0"/>
    <s v="Крафт-лайнер"/>
    <n v="68000"/>
    <n v="83000"/>
    <n v="5644000000"/>
    <n v="183702186000"/>
    <n v="57784864000"/>
  </r>
  <r>
    <x v="0"/>
    <s v="Целлюлоза техническая"/>
    <n v="45000"/>
    <n v="107463"/>
    <n v="4835835000"/>
    <n v="183702186000"/>
    <n v="57784864000"/>
  </r>
  <r>
    <x v="1"/>
    <s v="Целлюлоза беленая хвойная"/>
    <n v="86000"/>
    <n v="628433"/>
    <n v="54045238000"/>
    <n v="184932603000"/>
    <n v="44345327000"/>
  </r>
  <r>
    <x v="1"/>
    <s v="Целлюлоза беленая лиственная"/>
    <n v="79000"/>
    <n v="433666"/>
    <n v="34259614000"/>
    <n v="184932603000"/>
    <n v="44345327000"/>
  </r>
  <r>
    <x v="1"/>
    <s v="Картон гофрированный"/>
    <n v="66000"/>
    <n v="366506"/>
    <n v="24189396000"/>
    <n v="184932603000"/>
    <n v="44345327000"/>
  </r>
  <r>
    <x v="1"/>
    <s v="Бумага газетная"/>
    <n v="56000"/>
    <n v="209158"/>
    <n v="11712848000"/>
    <n v="184932603000"/>
    <n v="44345327000"/>
  </r>
  <r>
    <x v="1"/>
    <s v="Бумага офсетная"/>
    <n v="71000"/>
    <n v="145835"/>
    <n v="10354285000"/>
    <n v="184932603000"/>
    <n v="44345327000"/>
  </r>
  <r>
    <x v="1"/>
    <s v="Древесная масса"/>
    <n v="36000"/>
    <n v="270562"/>
    <n v="9740232000"/>
    <n v="184932603000"/>
    <n v="44345327000"/>
  </r>
  <r>
    <x v="1"/>
    <s v="Гофротара (ящики)"/>
    <n v="96000"/>
    <n v="88268"/>
    <n v="8473728000"/>
    <n v="184932603000"/>
    <n v="44345327000"/>
  </r>
  <r>
    <x v="1"/>
    <s v="Целлюлоза сульфатная небеленая"/>
    <n v="61000"/>
    <n v="126646"/>
    <n v="7725406000"/>
    <n v="184932603000"/>
    <n v="44345327000"/>
  </r>
  <r>
    <x v="1"/>
    <s v="Упаковка картонная потребительская"/>
    <n v="112000"/>
    <n v="64282"/>
    <n v="7199584000"/>
    <n v="184932603000"/>
    <n v="44345327000"/>
  </r>
  <r>
    <x v="1"/>
    <s v="Бумага мелованная"/>
    <n v="83000"/>
    <n v="78674"/>
    <n v="6529942000"/>
    <n v="184932603000"/>
    <n v="44345327000"/>
  </r>
  <r>
    <x v="1"/>
    <s v="Крафт-лайнер"/>
    <n v="69000"/>
    <n v="83471"/>
    <n v="5759499000"/>
    <n v="184932603000"/>
    <n v="44345327000"/>
  </r>
  <r>
    <x v="1"/>
    <s v="Целлюлоза техническая"/>
    <n v="46000"/>
    <n v="107457"/>
    <n v="4943022000"/>
    <n v="184932603000"/>
    <n v="44345327000"/>
  </r>
  <r>
    <x v="2"/>
    <s v="Целлюлоза беленая хвойная"/>
    <n v="87000"/>
    <n v="686333"/>
    <n v="59710971000"/>
    <n v="207084881000"/>
    <n v="48865950000"/>
  </r>
  <r>
    <x v="2"/>
    <s v="Целлюлоза беленая лиственная"/>
    <n v="81000"/>
    <n v="476620"/>
    <n v="38606220000"/>
    <n v="207084881000"/>
    <n v="48865950000"/>
  </r>
  <r>
    <x v="2"/>
    <s v="Картон гофрированный"/>
    <n v="67500"/>
    <n v="400391"/>
    <n v="27026392500"/>
    <n v="207084881000"/>
    <n v="48865950000"/>
  </r>
  <r>
    <x v="2"/>
    <s v="Бумага газетная"/>
    <n v="58000"/>
    <n v="228778"/>
    <n v="13269124000"/>
    <n v="207084881000"/>
    <n v="48865950000"/>
  </r>
  <r>
    <x v="2"/>
    <s v="Бумага офсетная"/>
    <n v="72500"/>
    <n v="162081"/>
    <n v="11750872500"/>
    <n v="207084881000"/>
    <n v="48865950000"/>
  </r>
  <r>
    <x v="2"/>
    <s v="Древесная масса"/>
    <n v="38000"/>
    <n v="295504"/>
    <n v="11229152000"/>
    <n v="207084881000"/>
    <n v="48865950000"/>
  </r>
  <r>
    <x v="2"/>
    <s v="Гофротара (ящики)"/>
    <n v="98000"/>
    <n v="95320"/>
    <n v="9341360000"/>
    <n v="207084881000"/>
    <n v="48865950000"/>
  </r>
  <r>
    <x v="2"/>
    <s v="Целлюлоза сульфатная небеленая"/>
    <n v="63000"/>
    <n v="138220"/>
    <n v="8707860000"/>
    <n v="207084881000"/>
    <n v="48865950000"/>
  </r>
  <r>
    <x v="2"/>
    <s v="Упаковка картонная потребительская"/>
    <n v="115000"/>
    <n v="71499"/>
    <n v="8222385000"/>
    <n v="207084881000"/>
    <n v="48865950000"/>
  </r>
  <r>
    <x v="2"/>
    <s v="Бумага мелованная"/>
    <n v="85000"/>
    <n v="85800"/>
    <n v="7293000000"/>
    <n v="207084881000"/>
    <n v="48865950000"/>
  </r>
  <r>
    <x v="2"/>
    <s v="Крафт-лайнер"/>
    <n v="71000"/>
    <n v="90658"/>
    <n v="6436718000"/>
    <n v="207084881000"/>
    <n v="48865950000"/>
  </r>
  <r>
    <x v="2"/>
    <s v="Целлюлоза техническая"/>
    <n v="48000"/>
    <n v="114389"/>
    <n v="5490672000"/>
    <n v="207084881000"/>
    <n v="48865950000"/>
  </r>
  <r>
    <x v="0"/>
    <s v="Доска калиброванная 50/45/40/35/30/21/18 х 190/140/120/95 мм."/>
    <n v="29000"/>
    <n v="9723"/>
    <n v="281967000"/>
    <n v="4229891000"/>
    <n v="226651000"/>
  </r>
  <r>
    <x v="0"/>
    <s v="Доска пола 45 х 135 мм."/>
    <n v="31000"/>
    <n v="9096"/>
    <n v="281976000"/>
    <n v="4229891000"/>
    <n v="226651000"/>
  </r>
  <r>
    <x v="0"/>
    <s v="Доска пола 36 х 135/115 мм."/>
    <n v="31000"/>
    <n v="9096"/>
    <n v="281976000"/>
    <n v="4229891000"/>
    <n v="226651000"/>
  </r>
  <r>
    <x v="0"/>
    <s v="Доска пола 28 х 135/115 мм."/>
    <n v="32000"/>
    <n v="8812"/>
    <n v="281984000"/>
    <n v="4229891000"/>
    <n v="226651000"/>
  </r>
  <r>
    <x v="0"/>
    <s v="Доска пола 21 х 115/90 мм."/>
    <n v="32000"/>
    <n v="8812"/>
    <n v="281984000"/>
    <n v="4229891000"/>
    <n v="226651000"/>
  </r>
  <r>
    <x v="0"/>
    <s v="Брус сухой строганный 100х100 / 100х150 / 150х150 мм."/>
    <n v="29000"/>
    <n v="9723"/>
    <n v="281967000"/>
    <n v="4229891000"/>
    <n v="226651000"/>
  </r>
  <r>
    <x v="0"/>
    <s v="Брус сухой строганный 100х200 / 150х200 мм."/>
    <n v="29000"/>
    <n v="9723"/>
    <n v="281967000"/>
    <n v="4229891000"/>
    <n v="226651000"/>
  </r>
  <r>
    <x v="0"/>
    <s v="Блок-Хаус 36/28 х 185/135 мм."/>
    <n v="32000"/>
    <n v="8812"/>
    <n v="281984000"/>
    <n v="4229891000"/>
    <n v="226651000"/>
  </r>
  <r>
    <x v="0"/>
    <s v="Имитация бруса 21 х 135 мм."/>
    <n v="33000"/>
    <n v="8545"/>
    <n v="281985000"/>
    <n v="4229891000"/>
    <n v="226651000"/>
  </r>
  <r>
    <x v="0"/>
    <s v="Имитация бруса 21 х 185 мм."/>
    <n v="35000"/>
    <n v="8056"/>
    <n v="281960000"/>
    <n v="4229891000"/>
    <n v="226651000"/>
  </r>
  <r>
    <x v="0"/>
    <s v="Имитация бруса 19 х 160 мм."/>
    <n v="35000"/>
    <n v="8056"/>
    <n v="281960000"/>
    <n v="4229891000"/>
    <n v="226651000"/>
  </r>
  <r>
    <x v="0"/>
    <s v="Имитация бруса 16 х 135 мм."/>
    <n v="35000"/>
    <n v="8056"/>
    <n v="281960000"/>
    <n v="4229891000"/>
    <n v="226651000"/>
  </r>
  <r>
    <x v="0"/>
    <s v="Вагонка 20 х 90 мм."/>
    <n v="26000"/>
    <n v="10845"/>
    <n v="281970000"/>
    <n v="4229891000"/>
    <n v="226651000"/>
  </r>
  <r>
    <x v="0"/>
    <s v="Вагонка Штиль 12,5 х 110/90 мм."/>
    <n v="36000"/>
    <n v="7833"/>
    <n v="281988000"/>
    <n v="4229891000"/>
    <n v="226651000"/>
  </r>
  <r>
    <x v="0"/>
    <s v="Евровагонка 12,5 х 90 мм."/>
    <n v="32000"/>
    <n v="8812"/>
    <n v="281984000"/>
    <n v="4229891000"/>
    <n v="226651000"/>
  </r>
  <r>
    <x v="1"/>
    <s v="Доска калиброванная 50/45/40/35/30/21/18 х 190/140/120/95 мм."/>
    <n v="29000"/>
    <n v="6479"/>
    <n v="187891000"/>
    <n v="2818701000"/>
    <n v="705874000"/>
  </r>
  <r>
    <x v="1"/>
    <s v="Доска пола 45 х 135 мм."/>
    <n v="31000"/>
    <n v="6061"/>
    <n v="187891000"/>
    <n v="2818701000"/>
    <n v="705874000"/>
  </r>
  <r>
    <x v="1"/>
    <s v="Доска пола 36 х 135/115 мм."/>
    <n v="31000"/>
    <n v="6061"/>
    <n v="187891000"/>
    <n v="2818701000"/>
    <n v="705874000"/>
  </r>
  <r>
    <x v="1"/>
    <s v="Доска пола 28 х 135/115 мм."/>
    <n v="32000"/>
    <n v="5872"/>
    <n v="187904000"/>
    <n v="2818701000"/>
    <n v="705874000"/>
  </r>
  <r>
    <x v="1"/>
    <s v="Доска пола 21 х 115/90 мм."/>
    <n v="32000"/>
    <n v="5872"/>
    <n v="187904000"/>
    <n v="2818701000"/>
    <n v="705874000"/>
  </r>
  <r>
    <x v="1"/>
    <s v="Брус сухой строганный 100х100 / 100х150 / 150х150 мм."/>
    <n v="29000"/>
    <n v="6479"/>
    <n v="187891000"/>
    <n v="2818701000"/>
    <n v="705874000"/>
  </r>
  <r>
    <x v="1"/>
    <s v="Брус сухой строганный 100х200 / 150х200 мм."/>
    <n v="29000"/>
    <n v="6479"/>
    <n v="187891000"/>
    <n v="2818701000"/>
    <n v="705874000"/>
  </r>
  <r>
    <x v="1"/>
    <s v="Блок-Хаус 36/28 х 185/135 мм."/>
    <n v="32000"/>
    <n v="5872"/>
    <n v="187904000"/>
    <n v="2818701000"/>
    <n v="705874000"/>
  </r>
  <r>
    <x v="1"/>
    <s v="Имитация бруса 21 х 135 мм."/>
    <n v="33000"/>
    <n v="5694"/>
    <n v="187902000"/>
    <n v="2818701000"/>
    <n v="705874000"/>
  </r>
  <r>
    <x v="1"/>
    <s v="Имитация бруса 21 х 185 мм."/>
    <n v="35000"/>
    <n v="5368"/>
    <n v="187880000"/>
    <n v="2818701000"/>
    <n v="705874000"/>
  </r>
  <r>
    <x v="1"/>
    <s v="Имитация бруса 19 х 160 мм."/>
    <n v="35000"/>
    <n v="5368"/>
    <n v="187880000"/>
    <n v="2818701000"/>
    <n v="705874000"/>
  </r>
  <r>
    <x v="1"/>
    <s v="Имитация бруса 16 х 135 мм."/>
    <n v="35000"/>
    <n v="5368"/>
    <n v="187880000"/>
    <n v="2818701000"/>
    <n v="705874000"/>
  </r>
  <r>
    <x v="1"/>
    <s v="Вагонка 20 х 90 мм."/>
    <n v="26000"/>
    <n v="7227"/>
    <n v="187902000"/>
    <n v="2818701000"/>
    <n v="705874000"/>
  </r>
  <r>
    <x v="1"/>
    <s v="Вагонка Штиль 12,5 х 110/90 мм."/>
    <n v="36000"/>
    <n v="5219"/>
    <n v="187884000"/>
    <n v="2818701000"/>
    <n v="705874000"/>
  </r>
  <r>
    <x v="1"/>
    <s v="Евровагонка 12,5 х 90 мм."/>
    <n v="32000"/>
    <n v="5872"/>
    <n v="187904000"/>
    <n v="2818701000"/>
    <n v="705874000"/>
  </r>
  <r>
    <x v="2"/>
    <s v="Доска калиброванная 50/45/40/35/30/21/18 х 190/140/120/95 мм."/>
    <n v="29000"/>
    <n v="4829"/>
    <n v="140041000"/>
    <n v="2100768000"/>
    <n v="490208000"/>
  </r>
  <r>
    <x v="2"/>
    <s v="Доска пола 45 х 135 мм."/>
    <n v="31000"/>
    <n v="4517"/>
    <n v="140027000"/>
    <n v="2100768000"/>
    <n v="490208000"/>
  </r>
  <r>
    <x v="2"/>
    <s v="Доска пола 36 х 135/115 мм."/>
    <n v="31000"/>
    <n v="4517"/>
    <n v="140027000"/>
    <n v="2100768000"/>
    <n v="490208000"/>
  </r>
  <r>
    <x v="2"/>
    <s v="Доска пола 28 х 135/115 мм."/>
    <n v="32000"/>
    <n v="4376"/>
    <n v="140032000"/>
    <n v="2100768000"/>
    <n v="490208000"/>
  </r>
  <r>
    <x v="2"/>
    <s v="Доска пола 21 х 115/90 мм."/>
    <n v="32000"/>
    <n v="4376"/>
    <n v="140032000"/>
    <n v="2100768000"/>
    <n v="490208000"/>
  </r>
  <r>
    <x v="2"/>
    <s v="Брус сухой строганный 100х100 / 100х150 / 150х150 мм."/>
    <n v="29000"/>
    <n v="4829"/>
    <n v="140041000"/>
    <n v="2100768000"/>
    <n v="490208000"/>
  </r>
  <r>
    <x v="2"/>
    <s v="Брус сухой строганный 100х200 / 150х200 мм."/>
    <n v="29000"/>
    <n v="4829"/>
    <n v="140041000"/>
    <n v="2100768000"/>
    <n v="490208000"/>
  </r>
  <r>
    <x v="2"/>
    <s v="Блок-Хаус 36/28 х 185/135 мм."/>
    <n v="32000"/>
    <n v="4376"/>
    <n v="140032000"/>
    <n v="2100768000"/>
    <n v="490208000"/>
  </r>
  <r>
    <x v="2"/>
    <s v="Имитация бруса 21 х 135 мм."/>
    <n v="33000"/>
    <n v="4243"/>
    <n v="140019000"/>
    <n v="2100768000"/>
    <n v="490208000"/>
  </r>
  <r>
    <x v="2"/>
    <s v="Имитация бруса 21 х 185 мм."/>
    <n v="35000"/>
    <n v="4001"/>
    <n v="140035000"/>
    <n v="2100768000"/>
    <n v="490208000"/>
  </r>
  <r>
    <x v="2"/>
    <s v="Имитация бруса 19 х 160 мм."/>
    <n v="35000"/>
    <n v="4001"/>
    <n v="140035000"/>
    <n v="2100768000"/>
    <n v="490208000"/>
  </r>
  <r>
    <x v="2"/>
    <s v="Имитация бруса 16 х 135 мм."/>
    <n v="35000"/>
    <n v="4001"/>
    <n v="140035000"/>
    <n v="2100768000"/>
    <n v="490208000"/>
  </r>
  <r>
    <x v="2"/>
    <s v="Вагонка 20 х 90 мм."/>
    <n v="26000"/>
    <n v="5386"/>
    <n v="140036000"/>
    <n v="2100768000"/>
    <n v="490208000"/>
  </r>
  <r>
    <x v="2"/>
    <s v="Вагонка Штиль 12,5 х 110/90 мм."/>
    <n v="36000"/>
    <n v="3890"/>
    <n v="140040000"/>
    <n v="2100768000"/>
    <n v="490208000"/>
  </r>
  <r>
    <x v="2"/>
    <s v="Евровагонка 12,5 х 90 мм."/>
    <n v="32000"/>
    <n v="4376"/>
    <n v="140032000"/>
    <n v="2100768000"/>
    <n v="490208000"/>
  </r>
  <r>
    <x v="0"/>
    <s v="Блоки оконные из профиля ПВХ* Wintech Termotech 752 (класс А) цвет белый заполнение - двухкамерный энергосберегающий стеклопакет фурнитура поворотная и поворотно- откидная Elementis/TTS/ACCADO"/>
    <n v="8250"/>
    <n v="2249"/>
    <n v="18554250"/>
    <n v="371125000"/>
    <n v="31720000"/>
  </r>
  <r>
    <x v="0"/>
    <s v="Монтажные работы"/>
    <n v="1800"/>
    <n v="10309"/>
    <n v="18556200"/>
    <n v="371125000"/>
    <n v="31720000"/>
  </r>
  <r>
    <x v="0"/>
    <s v="Блоки оконные из профиля ПВХ* Wintech Termotech 752 (класс А) с односторонней наружней ламинацией заполнение - двухкамерный энергосберегающий стеклопакет фурнитура поворотная и поворотно-откидная Elementis/TTS/ACCADO"/>
    <n v="9100"/>
    <n v="2039"/>
    <n v="18554900"/>
    <n v="371125000"/>
    <n v="31720000"/>
  </r>
  <r>
    <x v="0"/>
    <s v="Монтажные работы"/>
    <n v="1800"/>
    <n v="10309"/>
    <n v="18556200"/>
    <n v="371125000"/>
    <n v="31720000"/>
  </r>
  <r>
    <x v="0"/>
    <s v="Витражи остекления лоджий из алюминиевого профиля MasTTech 22 RAL по проекту открывание раздвижное заполнение - листовое стекло стемалит в комплекте с решетками ограждения из алюминиевого профиля"/>
    <n v="11300"/>
    <n v="1642"/>
    <n v="18554600"/>
    <n v="371125000"/>
    <n v="31720000"/>
  </r>
  <r>
    <x v="0"/>
    <s v="Монтажные работы"/>
    <n v="1800"/>
    <n v="10309"/>
    <n v="18556200"/>
    <n v="371125000"/>
    <n v="31720000"/>
  </r>
  <r>
    <x v="0"/>
    <s v="Блоки оконные из алюминиевого профиля &quot;теплого&quot; типа (с терморазрывом) MasTTech 67 RAL по проекту заполнение - двухкамерный энергосберегающий стеклопакет фурнитура поворотная и поворотно-откидная Giesse/Fapim"/>
    <n v="17100"/>
    <n v="1085"/>
    <n v="18553500"/>
    <n v="371125000"/>
    <n v="31720000"/>
  </r>
  <r>
    <x v="0"/>
    <s v="Монтажные работы"/>
    <n v="2800"/>
    <n v="6627"/>
    <n v="18555600"/>
    <n v="371125000"/>
    <n v="31720000"/>
  </r>
  <r>
    <x v="0"/>
    <s v="Блоки дверные из алюминиевого профиля &quot;теплого&quot; типа (с терморазрывом) MasTTech 67 RAL по проекту заполнение - двухкамерный энергосберегающий стеклопакет фурнитура поворотная Giesse/Fapim"/>
    <n v="24000"/>
    <n v="773"/>
    <n v="18552000"/>
    <n v="371125000"/>
    <n v="31720000"/>
  </r>
  <r>
    <x v="0"/>
    <s v="Монтажные работы"/>
    <n v="2800"/>
    <n v="6627"/>
    <n v="18555600"/>
    <n v="371125000"/>
    <n v="31720000"/>
  </r>
  <r>
    <x v="0"/>
    <s v="Витражи остекления внутренние из алюминиевого профиля MasTTech 67 RAL no проекту заполнение - однокамерный стеклопакет фурнитура поворотная и поворотно- откидная Giesse/Fapim"/>
    <n v="13670"/>
    <n v="1357"/>
    <n v="18550190"/>
    <n v="371125000"/>
    <n v="31720000"/>
  </r>
  <r>
    <x v="0"/>
    <s v="Монтажные работы"/>
    <n v="2800"/>
    <n v="6627"/>
    <n v="18555600"/>
    <n v="371125000"/>
    <n v="31720000"/>
  </r>
  <r>
    <x v="0"/>
    <s v="Витражи остекления внешние из алюминиевого профиля стоечно-ригельной системы (с терморазрывом) RAL по проекту заполнение - двухкамерный стеклопакет фурнитура поворотная и поворотно-откидная Giesse/Fapim"/>
    <n v="20800"/>
    <n v="892"/>
    <n v="18553600"/>
    <n v="371125000"/>
    <n v="31720000"/>
  </r>
  <r>
    <x v="0"/>
    <s v="Монтажные работы"/>
    <n v="2800"/>
    <n v="6627"/>
    <n v="18555600"/>
    <n v="371125000"/>
    <n v="31720000"/>
  </r>
  <r>
    <x v="0"/>
    <s v="Блоки дверные межкомнатные царговые* телескопического типа с подготовкой под сборку Дверное полотно глухое/остекленное дверная коробка (толщиной не менее 32 мм) наличник телескопический с 2-х сторон отделка - антивандальный ЭКО шпон с защитным лаком цвет по проекту комплект фурнитуры: петли ручки и ручки-защелки с фиксатором напольный ограничитель открывания"/>
    <n v="8100"/>
    <n v="2290"/>
    <n v="18549000"/>
    <n v="371125000"/>
    <n v="31720000"/>
  </r>
  <r>
    <x v="0"/>
    <s v="Монтажные работы"/>
    <n v="1800"/>
    <n v="10309"/>
    <n v="18556200"/>
    <n v="371125000"/>
    <n v="31720000"/>
  </r>
  <r>
    <x v="0"/>
    <s v="Доставка продукции г.Н.Новгород-г. Мосвка/Московская обл."/>
    <n v="250"/>
    <n v="74225"/>
    <n v="18556250"/>
    <n v="371125000"/>
    <n v="31720000"/>
  </r>
  <r>
    <x v="0"/>
    <s v="Брус стеновой профилированный ширина 120 240мм высота 140 200мм с зарезкой согласно проекту сосна/ель"/>
    <n v="72000"/>
    <n v="257"/>
    <n v="18504000"/>
    <n v="371125000"/>
    <n v="31720000"/>
  </r>
  <r>
    <x v="0"/>
    <s v="Брус конструкционный прямолинейный ширина 100 200мм высота до 1950 мм сосна/ель"/>
    <n v="83000"/>
    <n v="223"/>
    <n v="18509000"/>
    <n v="371125000"/>
    <n v="31720000"/>
  </r>
  <r>
    <x v="0"/>
    <s v="Брус конструкционный криволинейный ширина 100 200мм высота до 1950 мм сосна/ель"/>
    <n v="105000"/>
    <n v="177"/>
    <n v="18585000"/>
    <n v="371125000"/>
    <n v="31720000"/>
  </r>
  <r>
    <x v="1"/>
    <s v="Блоки оконные из профиля ПВХ* Wintech Termotech 752 (класс А) цвет белый заполнение - двухкамерный энергосберегающий стеклопакет фурнитура поворотная и поворотно- откидная Elementis/TTS/ACCADO"/>
    <n v="8250"/>
    <n v="6312"/>
    <n v="52074000"/>
    <n v="1041499000"/>
    <n v="117326000"/>
  </r>
  <r>
    <x v="1"/>
    <s v="Монтажные работы"/>
    <n v="1800"/>
    <n v="28930"/>
    <n v="52074000"/>
    <n v="1041499000"/>
    <n v="117326000"/>
  </r>
  <r>
    <x v="1"/>
    <s v="Блоки оконные из профиля ПВХ* Wintech Termotech 752 (класс А) с односторонней наружней ламинацией заполнение - двухкамерный энергосберегающий стеклопакет фурнитура поворотная и поворотно-откидная Elementis/TTS/ACCADO"/>
    <n v="9100"/>
    <n v="5722"/>
    <n v="52070200"/>
    <n v="1041499000"/>
    <n v="117326000"/>
  </r>
  <r>
    <x v="1"/>
    <s v="Монтажные работы"/>
    <n v="1800"/>
    <n v="28930"/>
    <n v="52074000"/>
    <n v="1041499000"/>
    <n v="117326000"/>
  </r>
  <r>
    <x v="1"/>
    <s v="Витражи остекления лоджий из алюминиевого профиля MasTTech 22 RAL по проекту открывание раздвижное заполнение - листовое стекло стемалит в комплекте с решетками ограждения из алюминиевого профиля"/>
    <n v="11300"/>
    <n v="4608"/>
    <n v="52070400"/>
    <n v="1041499000"/>
    <n v="117326000"/>
  </r>
  <r>
    <x v="1"/>
    <s v="Монтажные работы"/>
    <n v="1800"/>
    <n v="28930"/>
    <n v="52074000"/>
    <n v="1041499000"/>
    <n v="117326000"/>
  </r>
  <r>
    <x v="1"/>
    <s v="Блоки оконные из алюминиевого профиля &quot;теплого&quot; типа (с терморазрывом) MasTTech 67 RAL по проекту заполнение - двухкамерный энергосберегающий стеклопакет фурнитура поворотная и поворотно-откидная Giesse/Fapim"/>
    <n v="17100"/>
    <n v="3045"/>
    <n v="52069500"/>
    <n v="1041499000"/>
    <n v="117326000"/>
  </r>
  <r>
    <x v="1"/>
    <s v="Монтажные работы"/>
    <n v="2800"/>
    <n v="18598"/>
    <n v="52074400"/>
    <n v="1041499000"/>
    <n v="117326000"/>
  </r>
  <r>
    <x v="1"/>
    <s v="Блоки дверные из алюминиевого профиля &quot;теплого&quot; типа (с терморазрывом) MasTTech 67 RAL по проекту заполнение - двухкамерный энергосберегающий стеклопакет фурнитура поворотная Giesse/Fapim"/>
    <n v="24000"/>
    <n v="2169"/>
    <n v="52056000"/>
    <n v="1041499000"/>
    <n v="117326000"/>
  </r>
  <r>
    <x v="1"/>
    <s v="Монтажные работы"/>
    <n v="2800"/>
    <n v="18598"/>
    <n v="52074400"/>
    <n v="1041499000"/>
    <n v="117326000"/>
  </r>
  <r>
    <x v="1"/>
    <s v="Витражи остекления внутренние из алюминиевого профиля MasTTech 67 RAL no проекту заполнение - однокамерный стеклопакет фурнитура поворотная и поворотно- откидная Giesse/Fapim"/>
    <n v="13670"/>
    <n v="3809"/>
    <n v="52069030"/>
    <n v="1041499000"/>
    <n v="117326000"/>
  </r>
  <r>
    <x v="1"/>
    <s v="Монтажные работы"/>
    <n v="2800"/>
    <n v="18598"/>
    <n v="52074400"/>
    <n v="1041499000"/>
    <n v="117326000"/>
  </r>
  <r>
    <x v="1"/>
    <s v="Витражи остекления внешние из алюминиевого профиля стоечно-ригельной системы (с терморазрывом) RAL по проекту заполнение - двухкамерный стеклопакет фурнитура поворотная и поворотно-откидная Giesse/Fapim"/>
    <n v="20800"/>
    <n v="2503"/>
    <n v="52062400"/>
    <n v="1041499000"/>
    <n v="117326000"/>
  </r>
  <r>
    <x v="1"/>
    <s v="Монтажные работы"/>
    <n v="2800"/>
    <n v="18598"/>
    <n v="52074400"/>
    <n v="1041499000"/>
    <n v="117326000"/>
  </r>
  <r>
    <x v="1"/>
    <s v="Блоки дверные межкомнатные царговые* телескопического типа с подготовкой под сборку Дверное полотно глухое/остекленное дверная коробка (толщиной не менее 32 мм) наличник телескопический с 2-х сторон отделка - антивандальный ЭКО шпон с защитным лаком цвет по проекту комплект фурнитуры: петли ручки и ручки-защелки с фиксатором напольный ограничитель открывания"/>
    <n v="8100"/>
    <n v="6429"/>
    <n v="52074900"/>
    <n v="1041499000"/>
    <n v="117326000"/>
  </r>
  <r>
    <x v="1"/>
    <s v="Монтажные работы"/>
    <n v="1800"/>
    <n v="28930"/>
    <n v="52074000"/>
    <n v="1041499000"/>
    <n v="117326000"/>
  </r>
  <r>
    <x v="1"/>
    <s v="Доставка продукции г.Н.Новгород-г. Мосвка/Московская обл."/>
    <n v="250"/>
    <n v="208299"/>
    <n v="52074750"/>
    <n v="1041499000"/>
    <n v="117326000"/>
  </r>
  <r>
    <x v="1"/>
    <s v="Брус стеновой профилированный ширина 120 240мм высота 140 200мм с зарезкой согласно проекту сосна/ель"/>
    <n v="72000"/>
    <n v="723"/>
    <n v="52056000"/>
    <n v="1041499000"/>
    <n v="117326000"/>
  </r>
  <r>
    <x v="1"/>
    <s v="Брус конструкционный прямолинейный ширина 100 200мм высота до 1950 мм сосна/ель"/>
    <n v="83000"/>
    <n v="627"/>
    <n v="52041000"/>
    <n v="1041499000"/>
    <n v="117326000"/>
  </r>
  <r>
    <x v="1"/>
    <s v="Брус конструкционный криволинейный ширина 100 200мм высота до 1950 мм сосна/ель"/>
    <n v="105000"/>
    <n v="497"/>
    <n v="52185000"/>
    <n v="1041499000"/>
    <n v="117326000"/>
  </r>
  <r>
    <x v="2"/>
    <s v="Блоки оконные из профиля ПВХ* Wintech Termotech 752 (класс А) цвет белый заполнение - двухкамерный энергосберегающий стеклопакет фурнитура поворотная и поворотно- откидная Elementis/TTS/ACCADO"/>
    <n v="8250"/>
    <n v="4537"/>
    <n v="37430250"/>
    <n v="748638000"/>
    <n v="3286000"/>
  </r>
  <r>
    <x v="2"/>
    <s v="Монтажные работы"/>
    <n v="1800"/>
    <n v="20795"/>
    <n v="37431000"/>
    <n v="748638000"/>
    <n v="3286000"/>
  </r>
  <r>
    <x v="2"/>
    <s v="Блоки оконные из профиля ПВХ* Wintech Termotech 752 (класс А) с односторонней наружней ламинацией заполнение - двухкамерный энергосберегающий стеклопакет фурнитура поворотная и поворотно-откидная Elementis/TTS/ACCADO"/>
    <n v="9100"/>
    <n v="4113"/>
    <n v="37428300"/>
    <n v="748638000"/>
    <n v="3286000"/>
  </r>
  <r>
    <x v="2"/>
    <s v="Монтажные работы"/>
    <n v="1800"/>
    <n v="20795"/>
    <n v="37431000"/>
    <n v="748638000"/>
    <n v="3286000"/>
  </r>
  <r>
    <x v="2"/>
    <s v="Витражи остекления лоджий из алюминиевого профиля MasTTech 22 RAL по проекту открывание раздвижное заполнение - листовое стекло стемалит в комплекте с решетками ограждения из алюминиевого профиля"/>
    <n v="11300"/>
    <n v="3312"/>
    <n v="37425600"/>
    <n v="748638000"/>
    <n v="3286000"/>
  </r>
  <r>
    <x v="2"/>
    <s v="Монтажные работы"/>
    <n v="1800"/>
    <n v="20795"/>
    <n v="37431000"/>
    <n v="748638000"/>
    <n v="3286000"/>
  </r>
  <r>
    <x v="2"/>
    <s v="Блоки оконные из алюминиевого профиля &quot;теплого&quot; типа (с терморазрывом) MasTTech 67 RAL по проекту заполнение - двухкамерный энергосберегающий стеклопакет фурнитура поворотная и поворотно-откидная Giesse/Fapim"/>
    <n v="17100"/>
    <n v="2189"/>
    <n v="37431900"/>
    <n v="748638000"/>
    <n v="3286000"/>
  </r>
  <r>
    <x v="2"/>
    <s v="Монтажные работы"/>
    <n v="2800"/>
    <n v="13368"/>
    <n v="37430400"/>
    <n v="748638000"/>
    <n v="3286000"/>
  </r>
  <r>
    <x v="2"/>
    <s v="Блоки дверные из алюминиевого профиля &quot;теплого&quot; типа (с терморазрывом) MasTTech 67 RAL по проекту заполнение - двухкамерный энергосберегающий стеклопакет фурнитура поворотная Giesse/Fapim"/>
    <n v="24000"/>
    <n v="1559"/>
    <n v="37416000"/>
    <n v="748638000"/>
    <n v="3286000"/>
  </r>
  <r>
    <x v="2"/>
    <s v="Монтажные работы"/>
    <n v="2800"/>
    <n v="13368"/>
    <n v="37430400"/>
    <n v="748638000"/>
    <n v="3286000"/>
  </r>
  <r>
    <x v="2"/>
    <s v="Витражи остекления внутренние из алюминиевого профиля MasTTech 67 RAL no проекту заполнение - однокамерный стеклопакет фурнитура поворотная и поворотно- откидная Giesse/Fapim"/>
    <n v="13670"/>
    <n v="2738"/>
    <n v="37428460"/>
    <n v="748638000"/>
    <n v="3286000"/>
  </r>
  <r>
    <x v="2"/>
    <s v="Монтажные работы"/>
    <n v="2800"/>
    <n v="13368"/>
    <n v="37430400"/>
    <n v="748638000"/>
    <n v="3286000"/>
  </r>
  <r>
    <x v="2"/>
    <s v="Витражи остекления внешние из алюминиевого профиля стоечно-ригельной системы (с терморазрывом) RAL по проекту заполнение - двухкамерный стеклопакет фурнитура поворотная и поворотно-откидная Giesse/Fapim"/>
    <n v="20800"/>
    <n v="1799"/>
    <n v="37419200"/>
    <n v="748638000"/>
    <n v="3286000"/>
  </r>
  <r>
    <x v="2"/>
    <s v="Монтажные работы"/>
    <n v="2800"/>
    <n v="13368"/>
    <n v="37430400"/>
    <n v="748638000"/>
    <n v="3286000"/>
  </r>
  <r>
    <x v="2"/>
    <s v="Блоки дверные межкомнатные царговые* телескопического типа с подготовкой под сборку Дверное полотно глухое/остекленное дверная коробка (толщиной не менее 32 мм) наличник телескопический с 2-х сторон отделка - антивандальный ЭКО шпон с защитным лаком цвет по проекту комплект фурнитуры: петли ручки и ручки-защелки с фиксатором напольный ограничитель открывания"/>
    <n v="8100"/>
    <n v="4621"/>
    <n v="37430100"/>
    <n v="748638000"/>
    <n v="3286000"/>
  </r>
  <r>
    <x v="2"/>
    <s v="Монтажные работы"/>
    <n v="1800"/>
    <n v="20795"/>
    <n v="37431000"/>
    <n v="748638000"/>
    <n v="3286000"/>
  </r>
  <r>
    <x v="2"/>
    <s v="Доставка продукции г.Н.Новгород-г. Мосвка/Московская обл."/>
    <n v="250"/>
    <n v="149727"/>
    <n v="37431750"/>
    <n v="748638000"/>
    <n v="3286000"/>
  </r>
  <r>
    <x v="2"/>
    <s v="Брус стеновой профилированный ширина 120 240мм высота 140 200мм с зарезкой согласно проекту сосна/ель"/>
    <n v="72000"/>
    <n v="519"/>
    <n v="37368000"/>
    <n v="748638000"/>
    <n v="3286000"/>
  </r>
  <r>
    <x v="2"/>
    <s v="Брус конструкционный прямолинейный ширина 100 200мм высота до 1950 мм сосна/ель"/>
    <n v="83000"/>
    <n v="450"/>
    <n v="37350000"/>
    <n v="748638000"/>
    <n v="3286000"/>
  </r>
  <r>
    <x v="2"/>
    <s v="Брус конструкционный криволинейный ширина 100 200мм высота до 1950 мм сосна/ель"/>
    <n v="105000"/>
    <n v="358"/>
    <n v="37590000"/>
    <n v="748638000"/>
    <n v="3286000"/>
  </r>
  <r>
    <x v="0"/>
    <s v="Имитация бруса"/>
    <n v="950"/>
    <n v="55325"/>
    <n v="52558750"/>
    <n v="893513000"/>
    <n v="324784000"/>
  </r>
  <r>
    <x v="0"/>
    <s v="Сканд. фасадная доска"/>
    <n v="1100"/>
    <n v="47781"/>
    <n v="52559100"/>
    <n v="893513000"/>
    <n v="324784000"/>
  </r>
  <r>
    <x v="0"/>
    <s v="Евровагонка"/>
    <n v="1250"/>
    <n v="42047"/>
    <n v="52558750"/>
    <n v="893513000"/>
    <n v="324784000"/>
  </r>
  <r>
    <x v="0"/>
    <s v="Вагонка Штиль"/>
    <n v="1300"/>
    <n v="40430"/>
    <n v="52559000"/>
    <n v="893513000"/>
    <n v="324784000"/>
  </r>
  <r>
    <x v="0"/>
    <s v="Вагонка Профлайн"/>
    <n v="1350"/>
    <n v="38933"/>
    <n v="52559550"/>
    <n v="893513000"/>
    <n v="324784000"/>
  </r>
  <r>
    <x v="0"/>
    <s v="Блок хаус"/>
    <n v="1450"/>
    <n v="36247"/>
    <n v="52558150"/>
    <n v="893513000"/>
    <n v="324784000"/>
  </r>
  <r>
    <x v="0"/>
    <s v="Доска пола"/>
    <n v="2000"/>
    <n v="26279"/>
    <n v="52558000"/>
    <n v="893513000"/>
    <n v="324784000"/>
  </r>
  <r>
    <x v="0"/>
    <s v="Террасная доска"/>
    <n v="2200"/>
    <n v="23890"/>
    <n v="52558000"/>
    <n v="893513000"/>
    <n v="324784000"/>
  </r>
  <r>
    <x v="0"/>
    <s v="Планкен"/>
    <n v="2300"/>
    <n v="22851"/>
    <n v="52557300"/>
    <n v="893513000"/>
    <n v="324784000"/>
  </r>
  <r>
    <x v="0"/>
    <s v="Доска сухая строганая"/>
    <n v="1800"/>
    <n v="29199"/>
    <n v="52558200"/>
    <n v="893513000"/>
    <n v="324784000"/>
  </r>
  <r>
    <x v="0"/>
    <s v="Доска сухая обрезная"/>
    <n v="1700"/>
    <n v="30917"/>
    <n v="52558900"/>
    <n v="893513000"/>
    <n v="324784000"/>
  </r>
  <r>
    <x v="0"/>
    <s v="Брус е/влажн"/>
    <n v="1900"/>
    <n v="27662"/>
    <n v="52557800"/>
    <n v="893513000"/>
    <n v="324784000"/>
  </r>
  <r>
    <x v="0"/>
    <s v="Брус клееный гладкий"/>
    <n v="4000"/>
    <n v="13139"/>
    <n v="52556000"/>
    <n v="893513000"/>
    <n v="324784000"/>
  </r>
  <r>
    <x v="0"/>
    <s v="Брусок/рейка"/>
    <n v="650"/>
    <n v="80860"/>
    <n v="52559000"/>
    <n v="893513000"/>
    <n v="324784000"/>
  </r>
  <r>
    <x v="0"/>
    <s v="ОСП плита (OSB-3)"/>
    <n v="1800"/>
    <n v="29199"/>
    <n v="52558200"/>
    <n v="893513000"/>
    <n v="324784000"/>
  </r>
  <r>
    <x v="0"/>
    <s v="Мебельный щит хвоя"/>
    <n v="2800"/>
    <n v="18771"/>
    <n v="52558800"/>
    <n v="893513000"/>
    <n v="324784000"/>
  </r>
  <r>
    <x v="0"/>
    <s v="Брикеты топливные"/>
    <n v="4100"/>
    <n v="12824"/>
    <n v="52578400"/>
    <n v="893513000"/>
    <n v="324784000"/>
  </r>
  <r>
    <x v="1"/>
    <s v="Имитация бруса"/>
    <n v="950"/>
    <n v="59339"/>
    <n v="56372050"/>
    <n v="958340000"/>
    <n v="11958000"/>
  </r>
  <r>
    <x v="1"/>
    <s v="Сканд. фасадная доска"/>
    <n v="1100"/>
    <n v="51248"/>
    <n v="56372800"/>
    <n v="958340000"/>
    <n v="11958000"/>
  </r>
  <r>
    <x v="1"/>
    <s v="Евровагонка"/>
    <n v="1250"/>
    <n v="45098"/>
    <n v="56372500"/>
    <n v="958340000"/>
    <n v="11958000"/>
  </r>
  <r>
    <x v="1"/>
    <s v="Вагонка Штиль"/>
    <n v="1300"/>
    <n v="43363"/>
    <n v="56371900"/>
    <n v="958340000"/>
    <n v="11958000"/>
  </r>
  <r>
    <x v="1"/>
    <s v="Вагонка Профлайн"/>
    <n v="1350"/>
    <n v="41757"/>
    <n v="56371950"/>
    <n v="958340000"/>
    <n v="11958000"/>
  </r>
  <r>
    <x v="1"/>
    <s v="Блок хаус"/>
    <n v="1450"/>
    <n v="38877"/>
    <n v="56371650"/>
    <n v="958340000"/>
    <n v="11958000"/>
  </r>
  <r>
    <x v="1"/>
    <s v="Доска пола"/>
    <n v="2000"/>
    <n v="28186"/>
    <n v="56372000"/>
    <n v="958340000"/>
    <n v="11958000"/>
  </r>
  <r>
    <x v="1"/>
    <s v="Террасная доска"/>
    <n v="2200"/>
    <n v="25624"/>
    <n v="56372800"/>
    <n v="958340000"/>
    <n v="11958000"/>
  </r>
  <r>
    <x v="1"/>
    <s v="Планкен"/>
    <n v="2300"/>
    <n v="24509"/>
    <n v="56370700"/>
    <n v="958340000"/>
    <n v="11958000"/>
  </r>
  <r>
    <x v="1"/>
    <s v="Доска сухая строганая"/>
    <n v="1800"/>
    <n v="31318"/>
    <n v="56372400"/>
    <n v="958340000"/>
    <n v="11958000"/>
  </r>
  <r>
    <x v="1"/>
    <s v="Доска сухая обрезная"/>
    <n v="1700"/>
    <n v="33160"/>
    <n v="56372000"/>
    <n v="958340000"/>
    <n v="11958000"/>
  </r>
  <r>
    <x v="1"/>
    <s v="Брус е/влажн"/>
    <n v="1900"/>
    <n v="29669"/>
    <n v="56371100"/>
    <n v="958340000"/>
    <n v="11958000"/>
  </r>
  <r>
    <x v="1"/>
    <s v="Брус клееный гладкий"/>
    <n v="4000"/>
    <n v="14093"/>
    <n v="56372000"/>
    <n v="958340000"/>
    <n v="11958000"/>
  </r>
  <r>
    <x v="1"/>
    <s v="Брусок/рейка"/>
    <n v="650"/>
    <n v="86727"/>
    <n v="56372550"/>
    <n v="958340000"/>
    <n v="11958000"/>
  </r>
  <r>
    <x v="1"/>
    <s v="ОСП плита (OSB-3)"/>
    <n v="1800"/>
    <n v="31318"/>
    <n v="56372400"/>
    <n v="958340000"/>
    <n v="11958000"/>
  </r>
  <r>
    <x v="1"/>
    <s v="Мебельный щит хвоя"/>
    <n v="2800"/>
    <n v="20133"/>
    <n v="56372400"/>
    <n v="958340000"/>
    <n v="11958000"/>
  </r>
  <r>
    <x v="1"/>
    <s v="Брикеты топливные"/>
    <n v="4100"/>
    <n v="13753"/>
    <n v="56387300"/>
    <n v="958340000"/>
    <n v="11958000"/>
  </r>
  <r>
    <x v="2"/>
    <s v="Имитация бруса"/>
    <n v="950"/>
    <n v="226598"/>
    <n v="215268100"/>
    <n v="3659559000"/>
    <n v="106833000"/>
  </r>
  <r>
    <x v="2"/>
    <s v="Сканд. фасадная доска"/>
    <n v="1100"/>
    <n v="195698"/>
    <n v="215267800"/>
    <n v="3659559000"/>
    <n v="106833000"/>
  </r>
  <r>
    <x v="2"/>
    <s v="Евровагонка"/>
    <n v="1250"/>
    <n v="172214"/>
    <n v="215267500"/>
    <n v="3659559000"/>
    <n v="106833000"/>
  </r>
  <r>
    <x v="2"/>
    <s v="Вагонка Штиль"/>
    <n v="1300"/>
    <n v="165590"/>
    <n v="215267000"/>
    <n v="3659559000"/>
    <n v="106833000"/>
  </r>
  <r>
    <x v="2"/>
    <s v="Вагонка Профлайн"/>
    <n v="1350"/>
    <n v="159457"/>
    <n v="215266950"/>
    <n v="3659559000"/>
    <n v="106833000"/>
  </r>
  <r>
    <x v="2"/>
    <s v="Блок хаус"/>
    <n v="1450"/>
    <n v="148460"/>
    <n v="215267000"/>
    <n v="3659559000"/>
    <n v="106833000"/>
  </r>
  <r>
    <x v="2"/>
    <s v="Доска пола"/>
    <n v="2000"/>
    <n v="107634"/>
    <n v="215268000"/>
    <n v="3659559000"/>
    <n v="106833000"/>
  </r>
  <r>
    <x v="2"/>
    <s v="Террасная доска"/>
    <n v="2200"/>
    <n v="97849"/>
    <n v="215267800"/>
    <n v="3659559000"/>
    <n v="106833000"/>
  </r>
  <r>
    <x v="2"/>
    <s v="Планкен"/>
    <n v="2300"/>
    <n v="93594"/>
    <n v="215266200"/>
    <n v="3659559000"/>
    <n v="106833000"/>
  </r>
  <r>
    <x v="2"/>
    <s v="Доска сухая строганая"/>
    <n v="1800"/>
    <n v="119593"/>
    <n v="215267400"/>
    <n v="3659559000"/>
    <n v="106833000"/>
  </r>
  <r>
    <x v="2"/>
    <s v="Доска сухая обрезная"/>
    <n v="1700"/>
    <n v="126628"/>
    <n v="215267600"/>
    <n v="3659559000"/>
    <n v="106833000"/>
  </r>
  <r>
    <x v="2"/>
    <s v="Брус е/влажн"/>
    <n v="1900"/>
    <n v="113299"/>
    <n v="215268100"/>
    <n v="3659559000"/>
    <n v="106833000"/>
  </r>
  <r>
    <x v="2"/>
    <s v="Брус клееный гладкий"/>
    <n v="4000"/>
    <n v="53817"/>
    <n v="215268000"/>
    <n v="3659559000"/>
    <n v="106833000"/>
  </r>
  <r>
    <x v="2"/>
    <s v="Брусок/рейка"/>
    <n v="650"/>
    <n v="331181"/>
    <n v="215267650"/>
    <n v="3659559000"/>
    <n v="106833000"/>
  </r>
  <r>
    <x v="2"/>
    <s v="ОСП плита (OSB-3)"/>
    <n v="1800"/>
    <n v="119593"/>
    <n v="215267400"/>
    <n v="3659559000"/>
    <n v="106833000"/>
  </r>
  <r>
    <x v="2"/>
    <s v="Мебельный щит хвоя"/>
    <n v="2800"/>
    <n v="76881"/>
    <n v="215266800"/>
    <n v="3659559000"/>
    <n v="106833000"/>
  </r>
  <r>
    <x v="2"/>
    <s v="Брикеты топливные"/>
    <n v="4100"/>
    <n v="52507"/>
    <n v="215278700"/>
    <n v="3659559000"/>
    <n v="106833000"/>
  </r>
  <r>
    <x v="0"/>
    <s v="Фанера 1/2 Ш2"/>
    <n v="57480"/>
    <n v="35"/>
    <n v="2011800"/>
    <n v="30538000"/>
    <n v="373000"/>
  </r>
  <r>
    <x v="0"/>
    <s v="Фанера 2/2 Ш2"/>
    <n v="51730"/>
    <n v="39"/>
    <n v="2017470"/>
    <n v="30538000"/>
    <n v="373000"/>
  </r>
  <r>
    <x v="0"/>
    <s v="Фанера 2/3 Ш2"/>
    <n v="45620"/>
    <n v="44"/>
    <n v="2007280"/>
    <n v="30538000"/>
    <n v="373000"/>
  </r>
  <r>
    <x v="0"/>
    <s v="Фанера 2/4 Ш2"/>
    <n v="38960"/>
    <n v="52"/>
    <n v="2025920"/>
    <n v="30538000"/>
    <n v="373000"/>
  </r>
  <r>
    <x v="0"/>
    <s v="Фанера 3/3 Ш2"/>
    <n v="37080"/>
    <n v="54"/>
    <n v="2002320"/>
    <n v="30538000"/>
    <n v="373000"/>
  </r>
  <r>
    <x v="0"/>
    <s v="Фанера 3/4 Ш2"/>
    <n v="36370"/>
    <n v="55"/>
    <n v="2000350"/>
    <n v="30538000"/>
    <n v="373000"/>
  </r>
  <r>
    <x v="0"/>
    <s v="Фанера 4/4 НШ"/>
    <n v="33110"/>
    <n v="61"/>
    <n v="2019710"/>
    <n v="30538000"/>
    <n v="373000"/>
  </r>
  <r>
    <x v="0"/>
    <s v="Фанера 2/2 Ш2"/>
    <n v="58650"/>
    <n v="34"/>
    <n v="1994100"/>
    <n v="30538000"/>
    <n v="373000"/>
  </r>
  <r>
    <x v="0"/>
    <s v="Фанера 2/3 Ш2"/>
    <n v="52030"/>
    <n v="39"/>
    <n v="2029170"/>
    <n v="30538000"/>
    <n v="373000"/>
  </r>
  <r>
    <x v="0"/>
    <s v="Фанера 2/4 Ш2"/>
    <n v="44100"/>
    <n v="46"/>
    <n v="2028600"/>
    <n v="30538000"/>
    <n v="373000"/>
  </r>
  <r>
    <x v="0"/>
    <s v="Фанера 3/3 Ш2"/>
    <n v="43640"/>
    <n v="46"/>
    <n v="2007440"/>
    <n v="30538000"/>
    <n v="373000"/>
  </r>
  <r>
    <x v="0"/>
    <s v="Фанера 3/4 Ш2"/>
    <n v="41350"/>
    <n v="49"/>
    <n v="2026150"/>
    <n v="30538000"/>
    <n v="373000"/>
  </r>
  <r>
    <x v="0"/>
    <s v="Фанера 4/4 НШ"/>
    <n v="37640"/>
    <n v="169"/>
    <n v="6361160"/>
    <n v="30538000"/>
    <n v="373000"/>
  </r>
  <r>
    <x v="1"/>
    <s v="Фанера 1/2 Ш2"/>
    <n v="57480"/>
    <n v="22"/>
    <n v="1264560"/>
    <n v="19535000"/>
    <n v="963000"/>
  </r>
  <r>
    <x v="1"/>
    <s v="Фанера 2/2 Ш2"/>
    <n v="51730"/>
    <n v="25"/>
    <n v="1293250"/>
    <n v="19535000"/>
    <n v="963000"/>
  </r>
  <r>
    <x v="1"/>
    <s v="Фанера 2/3 Ш2"/>
    <n v="45620"/>
    <n v="28"/>
    <n v="1277360"/>
    <n v="19535000"/>
    <n v="963000"/>
  </r>
  <r>
    <x v="1"/>
    <s v="Фанера 2/4 Ш2"/>
    <n v="38960"/>
    <n v="33"/>
    <n v="1285680"/>
    <n v="19535000"/>
    <n v="963000"/>
  </r>
  <r>
    <x v="1"/>
    <s v="Фанера 3/3 Ш2"/>
    <n v="37080"/>
    <n v="35"/>
    <n v="1297800"/>
    <n v="19535000"/>
    <n v="963000"/>
  </r>
  <r>
    <x v="1"/>
    <s v="Фанера 3/4 Ш2"/>
    <n v="36370"/>
    <n v="35"/>
    <n v="1272950"/>
    <n v="19535000"/>
    <n v="963000"/>
  </r>
  <r>
    <x v="1"/>
    <s v="Фанера 4/4 НШ"/>
    <n v="33110"/>
    <n v="39"/>
    <n v="1291290"/>
    <n v="19535000"/>
    <n v="963000"/>
  </r>
  <r>
    <x v="1"/>
    <s v="Фанера 2/2 Ш2"/>
    <n v="58650"/>
    <n v="22"/>
    <n v="1290300"/>
    <n v="19535000"/>
    <n v="963000"/>
  </r>
  <r>
    <x v="1"/>
    <s v="Фанера 2/3 Ш2"/>
    <n v="52030"/>
    <n v="25"/>
    <n v="1300750"/>
    <n v="19535000"/>
    <n v="963000"/>
  </r>
  <r>
    <x v="1"/>
    <s v="Фанера 2/4 Ш2"/>
    <n v="44100"/>
    <n v="29"/>
    <n v="1278900"/>
    <n v="19535000"/>
    <n v="963000"/>
  </r>
  <r>
    <x v="1"/>
    <s v="Фанера 3/3 Ш2"/>
    <n v="43640"/>
    <n v="29"/>
    <n v="1265560"/>
    <n v="19535000"/>
    <n v="963000"/>
  </r>
  <r>
    <x v="1"/>
    <s v="Фанера 3/4 Ш2"/>
    <n v="41350"/>
    <n v="31"/>
    <n v="1281850"/>
    <n v="19535000"/>
    <n v="963000"/>
  </r>
  <r>
    <x v="1"/>
    <s v="Фанера 4/4 НШ"/>
    <n v="37640"/>
    <n v="109"/>
    <n v="4102760"/>
    <n v="19535000"/>
    <n v="963000"/>
  </r>
  <r>
    <x v="2"/>
    <s v="Фанера 1/2 Ш2"/>
    <n v="57480"/>
    <n v="90"/>
    <n v="5173200"/>
    <n v="78213000"/>
    <n v="1027000"/>
  </r>
  <r>
    <x v="2"/>
    <s v="Фанера 2/2 Ш2"/>
    <n v="51730"/>
    <n v="100"/>
    <n v="5173000"/>
    <n v="78213000"/>
    <n v="1027000"/>
  </r>
  <r>
    <x v="2"/>
    <s v="Фанера 2/3 Ш2"/>
    <n v="45620"/>
    <n v="114"/>
    <n v="5200680"/>
    <n v="78213000"/>
    <n v="1027000"/>
  </r>
  <r>
    <x v="2"/>
    <s v="Фанера 2/4 Ш2"/>
    <n v="38960"/>
    <n v="133"/>
    <n v="5181680"/>
    <n v="78213000"/>
    <n v="1027000"/>
  </r>
  <r>
    <x v="2"/>
    <s v="Фанера 3/3 Ш2"/>
    <n v="37080"/>
    <n v="140"/>
    <n v="5191200"/>
    <n v="78213000"/>
    <n v="1027000"/>
  </r>
  <r>
    <x v="2"/>
    <s v="Фанера 3/4 Ш2"/>
    <n v="36370"/>
    <n v="143"/>
    <n v="5200910"/>
    <n v="78213000"/>
    <n v="1027000"/>
  </r>
  <r>
    <x v="2"/>
    <s v="Фанера 4/4 НШ"/>
    <n v="33110"/>
    <n v="157"/>
    <n v="5198270"/>
    <n v="78213000"/>
    <n v="1027000"/>
  </r>
  <r>
    <x v="2"/>
    <s v="Фанера 2/2 Ш2"/>
    <n v="58650"/>
    <n v="88"/>
    <n v="5161200"/>
    <n v="78213000"/>
    <n v="1027000"/>
  </r>
  <r>
    <x v="2"/>
    <s v="Фанера 2/3 Ш2"/>
    <n v="52030"/>
    <n v="100"/>
    <n v="5203000"/>
    <n v="78213000"/>
    <n v="1027000"/>
  </r>
  <r>
    <x v="2"/>
    <s v="Фанера 2/4 Ш2"/>
    <n v="44100"/>
    <n v="118"/>
    <n v="5203800"/>
    <n v="78213000"/>
    <n v="1027000"/>
  </r>
  <r>
    <x v="2"/>
    <s v="Фанера 3/3 Ш2"/>
    <n v="43640"/>
    <n v="119"/>
    <n v="5193160"/>
    <n v="78213000"/>
    <n v="1027000"/>
  </r>
  <r>
    <x v="2"/>
    <s v="Фанера 3/4 Ш2"/>
    <n v="41350"/>
    <n v="126"/>
    <n v="5210100"/>
    <n v="78213000"/>
    <n v="1027000"/>
  </r>
  <r>
    <x v="2"/>
    <s v="Фанера 4/4 НШ"/>
    <n v="37640"/>
    <n v="423"/>
    <n v="15921720"/>
    <n v="78213000"/>
    <n v="1027000"/>
  </r>
  <r>
    <x v="0"/>
    <s v="Отходы лесопиления (от бруса)"/>
    <n v="2000"/>
    <n v="9"/>
    <n v="18000"/>
    <n v="1030000"/>
    <n v="-172000"/>
  </r>
  <r>
    <x v="0"/>
    <s v="Пиломатериал хвойный, обрезной, ГОСТ 8486-86, влаж. естественная, 21-60"/>
    <n v="18000"/>
    <n v="0"/>
    <n v="0"/>
    <n v="1030000"/>
    <n v="-172000"/>
  </r>
  <r>
    <x v="0"/>
    <s v="Отходы лесопиления, участка лесопиления, (дровяная доска)"/>
    <n v="2000"/>
    <n v="107"/>
    <n v="214000"/>
    <n v="1030000"/>
    <n v="-172000"/>
  </r>
  <r>
    <x v="0"/>
    <s v="Пиломатериал хвойный, обрезной, ГОСТ 26002-83, влаж. транспортная, 20+-2% (по заказу)"/>
    <n v="25000"/>
    <n v="4"/>
    <n v="100000"/>
    <n v="1030000"/>
    <n v="-172000"/>
  </r>
  <r>
    <x v="0"/>
    <s v="Отходы лесопиления (отторцовка от доски)"/>
    <n v="500"/>
    <n v="261"/>
    <n v="130500"/>
    <n v="1030000"/>
    <n v="-172000"/>
  </r>
  <r>
    <x v="0"/>
    <s v="Пиломатериал хвойный, обрезной, ГОСТ 8486-86, влаж. естественная, 21-28мм (поддонная доска)"/>
    <n v="7000"/>
    <n v="0"/>
    <n v="0"/>
    <n v="1030000"/>
    <n v="-172000"/>
  </r>
  <r>
    <x v="0"/>
    <s v="Отходы с линии сортировки"/>
    <n v="500"/>
    <n v="744"/>
    <n v="372000"/>
    <n v="1030000"/>
    <n v="-172000"/>
  </r>
  <r>
    <x v="0"/>
    <s v="Пиломатериал хвойный ест. влаж. 21-60мм (торцы)"/>
    <n v="7000"/>
    <n v="27"/>
    <n v="189000"/>
    <n v="1030000"/>
    <n v="-172000"/>
  </r>
  <r>
    <x v="1"/>
    <s v="Отходы лесопиления (от бруса)"/>
    <n v="2000"/>
    <n v="68"/>
    <n v="136000"/>
    <n v="2164000"/>
    <n v="626000"/>
  </r>
  <r>
    <x v="1"/>
    <s v="Пиломатериал хвойный, обрезной, ГОСТ 8486-86, влаж. естественная, 21-60"/>
    <n v="18000"/>
    <n v="7"/>
    <n v="126000"/>
    <n v="2164000"/>
    <n v="626000"/>
  </r>
  <r>
    <x v="1"/>
    <s v="Отходы лесопиления, участка лесопиления, (дровяная доска)"/>
    <n v="2000"/>
    <n v="61"/>
    <n v="122000"/>
    <n v="2164000"/>
    <n v="626000"/>
  </r>
  <r>
    <x v="1"/>
    <s v="Пиломатериал хвойный, обрезной, ГОСТ 26002-83, влаж. транспортная, 20+-2% (по заказу)"/>
    <n v="25000"/>
    <n v="9"/>
    <n v="225000"/>
    <n v="2164000"/>
    <n v="626000"/>
  </r>
  <r>
    <x v="1"/>
    <s v="Отходы лесопиления (отторцовка от доски)"/>
    <n v="500"/>
    <n v="891"/>
    <n v="445500"/>
    <n v="2164000"/>
    <n v="626000"/>
  </r>
  <r>
    <x v="1"/>
    <s v="Пиломатериал хвойный, обрезной, ГОСТ 8486-86, влаж. естественная, 21-28мм (поддонная доска)"/>
    <n v="7000"/>
    <n v="48"/>
    <n v="336000"/>
    <n v="2164000"/>
    <n v="626000"/>
  </r>
  <r>
    <x v="1"/>
    <s v="Отходы с линии сортировки"/>
    <n v="500"/>
    <n v="413"/>
    <n v="206500"/>
    <n v="2164000"/>
    <n v="626000"/>
  </r>
  <r>
    <x v="1"/>
    <s v="Пиломатериал хвойный ест. влаж. 21-60мм (торцы)"/>
    <n v="7000"/>
    <n v="81"/>
    <n v="567000"/>
    <n v="2164000"/>
    <n v="626000"/>
  </r>
  <r>
    <x v="2"/>
    <s v="Отходы лесопиления (от бруса)"/>
    <n v="2000"/>
    <n v="97"/>
    <n v="194000"/>
    <n v="6268000"/>
    <n v="2612000"/>
  </r>
  <r>
    <x v="2"/>
    <s v="Пиломатериал хвойный, обрезной, ГОСТ 8486-86, влаж. естественная, 21-60"/>
    <n v="18000"/>
    <n v="24"/>
    <n v="432000"/>
    <n v="6268000"/>
    <n v="2612000"/>
  </r>
  <r>
    <x v="2"/>
    <s v="Отходы лесопиления, участка лесопиления, (дровяная доска)"/>
    <n v="2000"/>
    <n v="289"/>
    <n v="578000"/>
    <n v="6268000"/>
    <n v="2612000"/>
  </r>
  <r>
    <x v="2"/>
    <s v="Пиломатериал хвойный, обрезной, ГОСТ 26002-83, влаж. транспортная, 20+-2% (по заказу)"/>
    <n v="25000"/>
    <n v="31"/>
    <n v="775000"/>
    <n v="6268000"/>
    <n v="2612000"/>
  </r>
  <r>
    <x v="2"/>
    <s v="Отходы лесопиления (отторцовка от доски)"/>
    <n v="500"/>
    <n v="3905"/>
    <n v="1952500"/>
    <n v="6268000"/>
    <n v="2612000"/>
  </r>
  <r>
    <x v="2"/>
    <s v="Пиломатериал хвойный, обрезной, ГОСТ 8486-86, влаж. естественная, 21-28мм (поддонная доска)"/>
    <n v="7000"/>
    <n v="40"/>
    <n v="280000"/>
    <n v="6268000"/>
    <n v="2612000"/>
  </r>
  <r>
    <x v="2"/>
    <s v="Отходы с линии сортировки"/>
    <n v="500"/>
    <n v="1832"/>
    <n v="916000"/>
    <n v="6268000"/>
    <n v="2612000"/>
  </r>
  <r>
    <x v="2"/>
    <s v="Пиломатериал хвойный ест. влаж. 21-60мм (торцы)"/>
    <n v="7000"/>
    <n v="163"/>
    <n v="1141000"/>
    <n v="6268000"/>
    <n v="2612000"/>
  </r>
  <r>
    <x v="3"/>
    <m/>
    <m/>
    <m/>
    <m/>
    <m/>
    <m/>
  </r>
  <r>
    <x v="3"/>
    <m/>
    <m/>
    <m/>
    <m/>
    <m/>
    <m/>
  </r>
  <r>
    <x v="3"/>
    <m/>
    <m/>
    <m/>
    <m/>
    <m/>
    <m/>
  </r>
  <r>
    <x v="3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7" cacheId="13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7" rowHeaderCaption="Год">
  <location ref="A35:B40" firstHeaderRow="1" firstDataRow="1" firstDataCol="1"/>
  <pivotFields count="8">
    <pivotField showAll="0">
      <items count="12">
        <item x="1"/>
        <item x="7"/>
        <item x="5"/>
        <item x="8"/>
        <item x="4"/>
        <item x="9"/>
        <item x="0"/>
        <item x="6"/>
        <item x="2"/>
        <item x="3"/>
        <item x="10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showAll="0">
      <items count="32">
        <item x="27"/>
        <item x="24"/>
        <item x="28"/>
        <item x="25"/>
        <item x="26"/>
        <item x="29"/>
        <item x="20"/>
        <item x="22"/>
        <item x="18"/>
        <item x="5"/>
        <item x="3"/>
        <item x="23"/>
        <item x="19"/>
        <item x="4"/>
        <item x="9"/>
        <item x="0"/>
        <item x="11"/>
        <item x="15"/>
        <item x="21"/>
        <item x="6"/>
        <item x="8"/>
        <item x="17"/>
        <item x="7"/>
        <item x="10"/>
        <item x="1"/>
        <item x="16"/>
        <item x="2"/>
        <item x="13"/>
        <item x="14"/>
        <item x="12"/>
        <item x="30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Сумма по полю Годовая прибыль, руб." fld="7" baseField="1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Сводная таблица6" cacheId="13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10" rowHeaderCaption="Год">
  <location ref="A27:B32" firstHeaderRow="1" firstDataRow="1" firstDataCol="1"/>
  <pivotFields count="8"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Сумма по полю Годовая выручка, руб" fld="6" baseField="1" baseItem="0"/>
  </dataFields>
  <chartFormats count="1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Сводная таблица2" cacheId="6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 chartFormat="7" rowHeaderCaption="Год">
  <location ref="A19:B24" firstHeaderRow="1" firstDataRow="1" firstDataCol="1"/>
  <pivotFields count="7"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dataField="1" showAll="0"/>
    <pivotField showAll="0"/>
    <pivotField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Количество по полю Выручка, руб" fld="4" subtotal="count" baseField="0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Сводная таблица1" cacheId="13" applyNumberFormats="0" applyBorderFormats="0" applyFontFormats="0" applyPatternFormats="0" applyAlignmentFormats="0" applyWidthHeightFormats="1" dataCaption="Значения" showMissing="0" updatedVersion="6" minRefreshableVersion="3" useAutoFormatting="1" itemPrintTitles="1" createdVersion="6" indent="0" outline="1" outlineData="1" multipleFieldFilters="0">
  <location ref="A3:K17" firstHeaderRow="1" firstDataRow="3" firstDataCol="1"/>
  <pivotFields count="8">
    <pivotField axis="axisRow" showAll="0">
      <items count="12">
        <item x="1"/>
        <item x="7"/>
        <item x="5"/>
        <item x="8"/>
        <item x="4"/>
        <item x="9"/>
        <item x="0"/>
        <item x="6"/>
        <item x="2"/>
        <item x="3"/>
        <item x="10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dataField="1" showAll="0"/>
    <pivotField dataField="1" showAll="0"/>
    <pivotField showAll="0"/>
    <pivotField showAll="0"/>
  </pivotFields>
  <rowFields count="1">
    <field x="0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2">
    <field x="1"/>
    <field x="-2"/>
  </colFields>
  <colItems count="10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 t="grand">
      <x/>
    </i>
    <i t="grand" i="1">
      <x/>
    </i>
  </colItems>
  <dataFields count="2">
    <dataField name="Сумма по полю Выручка, руб" fld="5" baseField="0" baseItem="0"/>
    <dataField name="Сумма по полю Количество, шт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Сводная таблица5" cacheId="13" applyNumberFormats="0" applyBorderFormats="0" applyFontFormats="0" applyPatternFormats="0" applyAlignmentFormats="0" applyWidthHeightFormats="1" dataCaption="Значения" updatedVersion="6" minRefreshableVersion="3" useAutoFormatting="1" itemPrintTitles="1" createdVersion="6" indent="0" outline="1" outlineData="1" multipleFieldFilters="0">
  <location ref="A1:D231" firstHeaderRow="0" firstDataRow="1" firstDataCol="1"/>
  <pivotFields count="8">
    <pivotField axis="axisRow" showAll="0">
      <items count="12">
        <item x="1"/>
        <item x="7"/>
        <item x="5"/>
        <item x="8"/>
        <item x="4"/>
        <item x="9"/>
        <item x="0"/>
        <item x="6"/>
        <item x="2"/>
        <item x="3"/>
        <item x="10"/>
        <item t="default"/>
      </items>
    </pivotField>
    <pivotField showAll="0"/>
    <pivotField axis="axisRow" showAll="0">
      <items count="113">
        <item x="35"/>
        <item x="29"/>
        <item x="84"/>
        <item x="71"/>
        <item x="74"/>
        <item x="70"/>
        <item x="68"/>
        <item x="66"/>
        <item x="21"/>
        <item x="58"/>
        <item x="12"/>
        <item x="95"/>
        <item x="90"/>
        <item x="7"/>
        <item x="25"/>
        <item x="26"/>
        <item x="91"/>
        <item x="78"/>
        <item x="77"/>
        <item x="76"/>
        <item x="14"/>
        <item x="56"/>
        <item x="57"/>
        <item x="15"/>
        <item x="92"/>
        <item x="42"/>
        <item x="48"/>
        <item x="43"/>
        <item x="63"/>
        <item x="20"/>
        <item x="83"/>
        <item x="82"/>
        <item x="64"/>
        <item x="11"/>
        <item x="73"/>
        <item x="72"/>
        <item x="69"/>
        <item x="45"/>
        <item x="28"/>
        <item x="31"/>
        <item x="27"/>
        <item x="51"/>
        <item x="85"/>
        <item x="55"/>
        <item x="54"/>
        <item x="53"/>
        <item x="52"/>
        <item x="22"/>
        <item x="8"/>
        <item x="89"/>
        <item x="88"/>
        <item x="17"/>
        <item x="16"/>
        <item x="75"/>
        <item x="44"/>
        <item x="5"/>
        <item x="4"/>
        <item x="3"/>
        <item x="2"/>
        <item x="6"/>
        <item x="0"/>
        <item x="1"/>
        <item x="81"/>
        <item x="65"/>
        <item x="79"/>
        <item x="62"/>
        <item x="61"/>
        <item x="59"/>
        <item x="60"/>
        <item x="10"/>
        <item x="41"/>
        <item x="37"/>
        <item x="49"/>
        <item x="36"/>
        <item x="23"/>
        <item x="13"/>
        <item x="94"/>
        <item x="67"/>
        <item x="30"/>
        <item x="93"/>
        <item x="103"/>
        <item x="107"/>
        <item x="105"/>
        <item x="109"/>
        <item x="9"/>
        <item x="33"/>
        <item x="110"/>
        <item x="106"/>
        <item x="108"/>
        <item x="104"/>
        <item x="87"/>
        <item x="19"/>
        <item x="24"/>
        <item x="80"/>
        <item x="32"/>
        <item x="86"/>
        <item x="34"/>
        <item x="18"/>
        <item x="47"/>
        <item x="96"/>
        <item x="97"/>
        <item x="98"/>
        <item x="99"/>
        <item x="100"/>
        <item x="101"/>
        <item x="102"/>
        <item x="38"/>
        <item x="40"/>
        <item x="39"/>
        <item x="46"/>
        <item x="50"/>
        <item x="111"/>
        <item t="default"/>
      </items>
    </pivotField>
    <pivotField dataField="1" showAll="0"/>
    <pivotField dataField="1" showAll="0"/>
    <pivotField dataField="1" showAll="0"/>
    <pivotField showAll="0"/>
    <pivotField showAll="0"/>
  </pivotFields>
  <rowFields count="2">
    <field x="2"/>
    <field x="0"/>
  </rowFields>
  <rowItems count="230">
    <i>
      <x/>
    </i>
    <i r="1">
      <x v="9"/>
    </i>
    <i>
      <x v="1"/>
    </i>
    <i r="1">
      <x v="9"/>
    </i>
    <i>
      <x v="2"/>
    </i>
    <i r="1">
      <x v="1"/>
    </i>
    <i>
      <x v="3"/>
    </i>
    <i r="1">
      <x v="7"/>
    </i>
    <i>
      <x v="4"/>
    </i>
    <i r="1">
      <x v="7"/>
    </i>
    <i>
      <x v="5"/>
    </i>
    <i r="1">
      <x v="7"/>
    </i>
    <i>
      <x v="6"/>
    </i>
    <i r="1">
      <x v="7"/>
    </i>
    <i>
      <x v="7"/>
    </i>
    <i r="1">
      <x v="7"/>
    </i>
    <i>
      <x v="8"/>
    </i>
    <i r="1">
      <x v="8"/>
    </i>
    <i r="1">
      <x v="9"/>
    </i>
    <i>
      <x v="9"/>
    </i>
    <i r="1">
      <x v="2"/>
    </i>
    <i>
      <x v="10"/>
    </i>
    <i r="1">
      <x/>
    </i>
    <i>
      <x v="11"/>
    </i>
    <i r="1">
      <x v="1"/>
    </i>
    <i>
      <x v="12"/>
    </i>
    <i r="1">
      <x v="1"/>
    </i>
    <i>
      <x v="13"/>
    </i>
    <i r="1">
      <x/>
    </i>
    <i>
      <x v="14"/>
    </i>
    <i r="1">
      <x v="9"/>
    </i>
    <i>
      <x v="15"/>
    </i>
    <i r="1">
      <x v="9"/>
    </i>
    <i>
      <x v="16"/>
    </i>
    <i r="1">
      <x v="1"/>
    </i>
    <i>
      <x v="17"/>
    </i>
    <i r="1">
      <x v="7"/>
    </i>
    <i>
      <x v="18"/>
    </i>
    <i r="1">
      <x v="7"/>
    </i>
    <i>
      <x v="19"/>
    </i>
    <i r="1">
      <x v="7"/>
    </i>
    <i>
      <x v="20"/>
    </i>
    <i r="1">
      <x v="8"/>
    </i>
    <i>
      <x v="21"/>
    </i>
    <i r="1">
      <x v="2"/>
    </i>
    <i>
      <x v="22"/>
    </i>
    <i r="1">
      <x v="2"/>
    </i>
    <i>
      <x v="23"/>
    </i>
    <i r="1">
      <x v="8"/>
    </i>
    <i>
      <x v="24"/>
    </i>
    <i r="1">
      <x v="1"/>
    </i>
    <i>
      <x v="25"/>
    </i>
    <i r="1">
      <x v="4"/>
    </i>
    <i>
      <x v="26"/>
    </i>
    <i r="1">
      <x v="4"/>
    </i>
    <i>
      <x v="27"/>
    </i>
    <i r="1">
      <x v="4"/>
    </i>
    <i>
      <x v="28"/>
    </i>
    <i r="1">
      <x v="2"/>
    </i>
    <i>
      <x v="29"/>
    </i>
    <i r="1">
      <x v="8"/>
    </i>
    <i r="1">
      <x v="9"/>
    </i>
    <i>
      <x v="30"/>
    </i>
    <i r="1">
      <x v="1"/>
    </i>
    <i>
      <x v="31"/>
    </i>
    <i r="1">
      <x v="1"/>
    </i>
    <i>
      <x v="32"/>
    </i>
    <i r="1">
      <x v="2"/>
    </i>
    <i>
      <x v="33"/>
    </i>
    <i r="1">
      <x/>
    </i>
    <i>
      <x v="34"/>
    </i>
    <i r="1">
      <x v="7"/>
    </i>
    <i>
      <x v="35"/>
    </i>
    <i r="1">
      <x v="7"/>
    </i>
    <i>
      <x v="36"/>
    </i>
    <i r="1">
      <x v="7"/>
    </i>
    <i>
      <x v="37"/>
    </i>
    <i r="1">
      <x v="4"/>
    </i>
    <i>
      <x v="38"/>
    </i>
    <i r="1">
      <x v="9"/>
    </i>
    <i>
      <x v="39"/>
    </i>
    <i r="1">
      <x v="9"/>
    </i>
    <i>
      <x v="40"/>
    </i>
    <i r="1">
      <x v="9"/>
    </i>
    <i>
      <x v="41"/>
    </i>
    <i r="1">
      <x v="2"/>
    </i>
    <i>
      <x v="42"/>
    </i>
    <i r="1">
      <x v="1"/>
    </i>
    <i>
      <x v="43"/>
    </i>
    <i r="1">
      <x v="2"/>
    </i>
    <i>
      <x v="44"/>
    </i>
    <i r="1">
      <x v="2"/>
    </i>
    <i>
      <x v="45"/>
    </i>
    <i r="1">
      <x v="2"/>
    </i>
    <i>
      <x v="46"/>
    </i>
    <i r="1">
      <x v="2"/>
    </i>
    <i>
      <x v="47"/>
    </i>
    <i r="1">
      <x v="8"/>
    </i>
    <i>
      <x v="48"/>
    </i>
    <i r="1">
      <x/>
    </i>
    <i r="1">
      <x v="9"/>
    </i>
    <i>
      <x v="49"/>
    </i>
    <i r="1">
      <x v="1"/>
    </i>
    <i>
      <x v="50"/>
    </i>
    <i r="1">
      <x v="1"/>
    </i>
    <i>
      <x v="51"/>
    </i>
    <i r="1">
      <x v="8"/>
    </i>
    <i>
      <x v="52"/>
    </i>
    <i r="1">
      <x v="8"/>
    </i>
    <i>
      <x v="53"/>
    </i>
    <i r="1">
      <x v="7"/>
    </i>
    <i>
      <x v="54"/>
    </i>
    <i r="1">
      <x v="4"/>
    </i>
    <i>
      <x v="55"/>
    </i>
    <i r="1">
      <x v="6"/>
    </i>
    <i>
      <x v="56"/>
    </i>
    <i r="1">
      <x v="6"/>
    </i>
    <i>
      <x v="57"/>
    </i>
    <i r="1">
      <x v="6"/>
    </i>
    <i>
      <x v="58"/>
    </i>
    <i r="1">
      <x v="6"/>
    </i>
    <i>
      <x v="59"/>
    </i>
    <i r="1">
      <x v="6"/>
    </i>
    <i>
      <x v="60"/>
    </i>
    <i r="1">
      <x v="6"/>
    </i>
    <i>
      <x v="61"/>
    </i>
    <i r="1">
      <x v="6"/>
    </i>
    <i>
      <x v="62"/>
    </i>
    <i r="1">
      <x v="1"/>
    </i>
    <i>
      <x v="63"/>
    </i>
    <i r="1">
      <x v="2"/>
    </i>
    <i>
      <x v="64"/>
    </i>
    <i r="1">
      <x v="1"/>
    </i>
    <i>
      <x v="65"/>
    </i>
    <i r="1">
      <x v="2"/>
    </i>
    <i>
      <x v="66"/>
    </i>
    <i r="1">
      <x v="2"/>
    </i>
    <i>
      <x v="67"/>
    </i>
    <i r="1">
      <x v="2"/>
    </i>
    <i>
      <x v="68"/>
    </i>
    <i r="1">
      <x v="2"/>
    </i>
    <i>
      <x v="69"/>
    </i>
    <i r="1">
      <x/>
    </i>
    <i r="1">
      <x v="8"/>
    </i>
    <i r="1">
      <x v="9"/>
    </i>
    <i>
      <x v="70"/>
    </i>
    <i r="1">
      <x v="4"/>
    </i>
    <i>
      <x v="71"/>
    </i>
    <i r="1">
      <x v="9"/>
    </i>
    <i>
      <x v="72"/>
    </i>
    <i r="1">
      <x v="4"/>
    </i>
    <i>
      <x v="73"/>
    </i>
    <i r="1">
      <x v="9"/>
    </i>
    <i>
      <x v="74"/>
    </i>
    <i r="1">
      <x v="8"/>
    </i>
    <i>
      <x v="75"/>
    </i>
    <i r="1">
      <x/>
    </i>
    <i>
      <x v="76"/>
    </i>
    <i r="1">
      <x v="1"/>
    </i>
    <i>
      <x v="77"/>
    </i>
    <i r="1">
      <x v="7"/>
    </i>
    <i>
      <x v="78"/>
    </i>
    <i r="1">
      <x v="9"/>
    </i>
    <i>
      <x v="79"/>
    </i>
    <i r="1">
      <x v="1"/>
    </i>
    <i>
      <x v="80"/>
    </i>
    <i r="1">
      <x v="5"/>
    </i>
    <i>
      <x v="81"/>
    </i>
    <i r="1">
      <x v="5"/>
    </i>
    <i>
      <x v="82"/>
    </i>
    <i r="1">
      <x v="5"/>
    </i>
    <i>
      <x v="83"/>
    </i>
    <i r="1">
      <x v="5"/>
    </i>
    <i>
      <x v="84"/>
    </i>
    <i r="1">
      <x/>
    </i>
    <i>
      <x v="85"/>
    </i>
    <i r="1">
      <x v="9"/>
    </i>
    <i>
      <x v="86"/>
    </i>
    <i r="1">
      <x v="5"/>
    </i>
    <i>
      <x v="87"/>
    </i>
    <i r="1">
      <x v="5"/>
    </i>
    <i>
      <x v="88"/>
    </i>
    <i r="1">
      <x v="5"/>
    </i>
    <i>
      <x v="89"/>
    </i>
    <i r="1">
      <x v="5"/>
    </i>
    <i>
      <x v="90"/>
    </i>
    <i r="1">
      <x v="1"/>
    </i>
    <i>
      <x v="91"/>
    </i>
    <i r="1">
      <x v="8"/>
    </i>
    <i>
      <x v="92"/>
    </i>
    <i r="1">
      <x v="8"/>
    </i>
    <i>
      <x v="93"/>
    </i>
    <i r="1">
      <x v="1"/>
    </i>
    <i>
      <x v="94"/>
    </i>
    <i r="1">
      <x v="9"/>
    </i>
    <i>
      <x v="95"/>
    </i>
    <i r="1">
      <x v="1"/>
    </i>
    <i>
      <x v="96"/>
    </i>
    <i r="1">
      <x v="9"/>
    </i>
    <i>
      <x v="97"/>
    </i>
    <i r="1">
      <x v="8"/>
    </i>
    <i>
      <x v="98"/>
    </i>
    <i r="1">
      <x v="4"/>
    </i>
    <i>
      <x v="99"/>
    </i>
    <i r="1">
      <x v="3"/>
    </i>
    <i>
      <x v="100"/>
    </i>
    <i r="1">
      <x v="3"/>
    </i>
    <i>
      <x v="101"/>
    </i>
    <i r="1">
      <x v="3"/>
    </i>
    <i>
      <x v="102"/>
    </i>
    <i r="1">
      <x v="3"/>
    </i>
    <i>
      <x v="103"/>
    </i>
    <i r="1">
      <x v="3"/>
    </i>
    <i>
      <x v="104"/>
    </i>
    <i r="1">
      <x v="3"/>
    </i>
    <i>
      <x v="105"/>
    </i>
    <i r="1">
      <x v="3"/>
    </i>
    <i>
      <x v="106"/>
    </i>
    <i r="1">
      <x v="9"/>
    </i>
    <i>
      <x v="107"/>
    </i>
    <i r="1">
      <x v="4"/>
    </i>
    <i>
      <x v="108"/>
    </i>
    <i r="1">
      <x v="4"/>
    </i>
    <i>
      <x v="109"/>
    </i>
    <i r="1">
      <x v="4"/>
    </i>
    <i>
      <x v="110"/>
    </i>
    <i r="1">
      <x v="4"/>
    </i>
    <i>
      <x v="111"/>
    </i>
    <i r="1"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Сумма по полю Количество, шт" fld="4" baseField="2" baseItem="0"/>
    <dataField name="Сумма по полю Выручка, руб" fld="5" baseField="2" baseItem="0" numFmtId="2"/>
    <dataField name="Среднее по полю Цена, руб" fld="3" subtotal="average" baseField="2" baseItem="0"/>
  </dataFields>
  <formats count="2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5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40"/>
  <sheetViews>
    <sheetView zoomScale="84" zoomScaleNormal="100" workbookViewId="0">
      <selection activeCell="D32" sqref="D32"/>
    </sheetView>
  </sheetViews>
  <sheetFormatPr defaultRowHeight="14.4" x14ac:dyDescent="0.3"/>
  <cols>
    <col min="1" max="1" width="20.21875" customWidth="1"/>
    <col min="2" max="2" width="27.6640625" customWidth="1"/>
    <col min="3" max="3" width="29.21875" customWidth="1"/>
    <col min="4" max="4" width="27.6640625" customWidth="1"/>
    <col min="5" max="5" width="29.21875" customWidth="1"/>
    <col min="6" max="6" width="27.6640625" bestFit="1" customWidth="1"/>
    <col min="7" max="7" width="29.21875" customWidth="1"/>
    <col min="8" max="8" width="27.6640625" bestFit="1" customWidth="1"/>
    <col min="9" max="9" width="29.21875" customWidth="1"/>
    <col min="10" max="10" width="32.109375" bestFit="1" customWidth="1"/>
    <col min="11" max="11" width="33.77734375" customWidth="1"/>
  </cols>
  <sheetData>
    <row r="3" spans="1:11" x14ac:dyDescent="0.3">
      <c r="B3" s="5" t="s">
        <v>132</v>
      </c>
    </row>
    <row r="4" spans="1:11" x14ac:dyDescent="0.3">
      <c r="B4">
        <v>2022</v>
      </c>
      <c r="D4">
        <v>2023</v>
      </c>
      <c r="F4">
        <v>2024</v>
      </c>
      <c r="H4" t="s">
        <v>130</v>
      </c>
      <c r="J4" t="s">
        <v>135</v>
      </c>
      <c r="K4" t="s">
        <v>136</v>
      </c>
    </row>
    <row r="5" spans="1:11" x14ac:dyDescent="0.3">
      <c r="A5" s="5" t="s">
        <v>129</v>
      </c>
      <c r="B5" t="s">
        <v>134</v>
      </c>
      <c r="C5" t="s">
        <v>137</v>
      </c>
      <c r="D5" t="s">
        <v>134</v>
      </c>
      <c r="E5" t="s">
        <v>137</v>
      </c>
      <c r="F5" t="s">
        <v>134</v>
      </c>
      <c r="G5" t="s">
        <v>137</v>
      </c>
      <c r="H5" t="s">
        <v>134</v>
      </c>
      <c r="I5" t="s">
        <v>137</v>
      </c>
    </row>
    <row r="6" spans="1:11" x14ac:dyDescent="0.3">
      <c r="A6" s="6" t="s">
        <v>13</v>
      </c>
      <c r="B6" s="7">
        <v>1155052019</v>
      </c>
      <c r="C6" s="7">
        <v>138983</v>
      </c>
      <c r="D6" s="7">
        <v>1568000400</v>
      </c>
      <c r="E6" s="7">
        <v>176366</v>
      </c>
      <c r="F6" s="7">
        <v>1992787400</v>
      </c>
      <c r="G6" s="7">
        <v>211574</v>
      </c>
      <c r="H6" s="7">
        <v>0</v>
      </c>
      <c r="I6" s="7">
        <v>0</v>
      </c>
      <c r="J6" s="7">
        <v>4715839819</v>
      </c>
      <c r="K6" s="7">
        <v>526923</v>
      </c>
    </row>
    <row r="7" spans="1:11" x14ac:dyDescent="0.3">
      <c r="A7" s="6" t="s">
        <v>91</v>
      </c>
      <c r="B7" s="7">
        <v>893511900</v>
      </c>
      <c r="C7" s="7">
        <v>576354</v>
      </c>
      <c r="D7" s="7">
        <v>958340500</v>
      </c>
      <c r="E7" s="7">
        <v>618172</v>
      </c>
      <c r="F7" s="7">
        <v>3659558000</v>
      </c>
      <c r="G7" s="7">
        <v>2360593</v>
      </c>
      <c r="H7" s="7">
        <v>0</v>
      </c>
      <c r="I7" s="7">
        <v>0</v>
      </c>
      <c r="J7" s="7">
        <v>5511410400</v>
      </c>
      <c r="K7" s="7">
        <v>3555119</v>
      </c>
    </row>
    <row r="8" spans="1:11" x14ac:dyDescent="0.3">
      <c r="A8" s="6" t="s">
        <v>61</v>
      </c>
      <c r="B8" s="7">
        <v>4229612000</v>
      </c>
      <c r="C8" s="7">
        <v>134000</v>
      </c>
      <c r="D8" s="7">
        <v>2818399000</v>
      </c>
      <c r="E8" s="7">
        <v>89291</v>
      </c>
      <c r="F8" s="7">
        <v>2100505000</v>
      </c>
      <c r="G8" s="7">
        <v>66547</v>
      </c>
      <c r="H8" s="7">
        <v>0</v>
      </c>
      <c r="I8" s="7">
        <v>0</v>
      </c>
      <c r="J8" s="7">
        <v>9148516000</v>
      </c>
      <c r="K8" s="7">
        <v>289838</v>
      </c>
    </row>
    <row r="9" spans="1:11" x14ac:dyDescent="0.3">
      <c r="A9" s="6" t="s">
        <v>109</v>
      </c>
      <c r="B9" s="7">
        <v>30531470</v>
      </c>
      <c r="C9" s="7">
        <v>723</v>
      </c>
      <c r="D9" s="7">
        <v>19503010</v>
      </c>
      <c r="E9" s="7">
        <v>462</v>
      </c>
      <c r="F9" s="7">
        <v>78211920</v>
      </c>
      <c r="G9" s="7">
        <v>1851</v>
      </c>
      <c r="H9" s="7">
        <v>0</v>
      </c>
      <c r="I9" s="7">
        <v>0</v>
      </c>
      <c r="J9" s="7">
        <v>128246400</v>
      </c>
      <c r="K9" s="7">
        <v>3036</v>
      </c>
    </row>
    <row r="10" spans="1:11" x14ac:dyDescent="0.3">
      <c r="A10" s="6" t="s">
        <v>48</v>
      </c>
      <c r="B10" s="7">
        <v>183714744000</v>
      </c>
      <c r="C10" s="7">
        <v>2625560</v>
      </c>
      <c r="D10" s="7">
        <v>184932794000</v>
      </c>
      <c r="E10" s="7">
        <v>2602958</v>
      </c>
      <c r="F10" s="7">
        <v>207084727000</v>
      </c>
      <c r="G10" s="7">
        <v>2845593</v>
      </c>
      <c r="H10" s="7">
        <v>0</v>
      </c>
      <c r="I10" s="7">
        <v>0</v>
      </c>
      <c r="J10" s="7">
        <v>575732265000</v>
      </c>
      <c r="K10" s="7">
        <v>8074111</v>
      </c>
    </row>
    <row r="11" spans="1:11" x14ac:dyDescent="0.3">
      <c r="A11" s="6" t="s">
        <v>117</v>
      </c>
      <c r="B11" s="7">
        <v>1023500</v>
      </c>
      <c r="C11" s="7">
        <v>1152</v>
      </c>
      <c r="D11" s="7">
        <v>2164000</v>
      </c>
      <c r="E11" s="7">
        <v>1578</v>
      </c>
      <c r="F11" s="7">
        <v>6268500</v>
      </c>
      <c r="G11" s="7">
        <v>6381</v>
      </c>
      <c r="H11" s="7">
        <v>0</v>
      </c>
      <c r="I11" s="7">
        <v>0</v>
      </c>
      <c r="J11" s="7">
        <v>9456000</v>
      </c>
      <c r="K11" s="7">
        <v>9111</v>
      </c>
    </row>
    <row r="12" spans="1:11" x14ac:dyDescent="0.3">
      <c r="A12" s="6" t="s">
        <v>12</v>
      </c>
      <c r="B12" s="7">
        <v>2750139100</v>
      </c>
      <c r="C12" s="7">
        <v>441314</v>
      </c>
      <c r="D12" s="7">
        <v>1466688200</v>
      </c>
      <c r="E12" s="7">
        <v>231352</v>
      </c>
      <c r="F12" s="7">
        <v>1156253600</v>
      </c>
      <c r="G12" s="7">
        <v>184762</v>
      </c>
      <c r="H12" s="7">
        <v>0</v>
      </c>
      <c r="I12" s="7">
        <v>0</v>
      </c>
      <c r="J12" s="7">
        <v>5373080900</v>
      </c>
      <c r="K12" s="7">
        <v>857428</v>
      </c>
    </row>
    <row r="13" spans="1:11" x14ac:dyDescent="0.3">
      <c r="A13" s="6" t="s">
        <v>77</v>
      </c>
      <c r="B13" s="7">
        <v>371023490</v>
      </c>
      <c r="C13" s="7">
        <v>154953</v>
      </c>
      <c r="D13" s="7">
        <v>1041496780</v>
      </c>
      <c r="E13" s="7">
        <v>434855</v>
      </c>
      <c r="F13" s="7">
        <v>748595160</v>
      </c>
      <c r="G13" s="7">
        <v>312574</v>
      </c>
      <c r="H13" s="7">
        <v>0</v>
      </c>
      <c r="I13" s="7">
        <v>0</v>
      </c>
      <c r="J13" s="7">
        <v>2161115430</v>
      </c>
      <c r="K13" s="7">
        <v>902382</v>
      </c>
    </row>
    <row r="14" spans="1:11" x14ac:dyDescent="0.3">
      <c r="A14" s="6" t="s">
        <v>21</v>
      </c>
      <c r="B14" s="7">
        <v>2946244700</v>
      </c>
      <c r="C14" s="7">
        <v>255589</v>
      </c>
      <c r="D14" s="7">
        <v>3387449700</v>
      </c>
      <c r="E14" s="7">
        <v>280505</v>
      </c>
      <c r="F14" s="7">
        <v>4246401000</v>
      </c>
      <c r="G14" s="7">
        <v>338500</v>
      </c>
      <c r="H14" s="7">
        <v>0</v>
      </c>
      <c r="I14" s="7">
        <v>0</v>
      </c>
      <c r="J14" s="7">
        <v>10580095400</v>
      </c>
      <c r="K14" s="7">
        <v>874594</v>
      </c>
    </row>
    <row r="15" spans="1:11" x14ac:dyDescent="0.3">
      <c r="A15" s="6" t="s">
        <v>33</v>
      </c>
      <c r="B15" s="7">
        <v>3863125200</v>
      </c>
      <c r="C15" s="7">
        <v>176013</v>
      </c>
      <c r="D15" s="7">
        <v>4596408100</v>
      </c>
      <c r="E15" s="7">
        <v>208423</v>
      </c>
      <c r="F15" s="7">
        <v>5511645400</v>
      </c>
      <c r="G15" s="7">
        <v>241879</v>
      </c>
      <c r="H15" s="7">
        <v>0</v>
      </c>
      <c r="I15" s="7">
        <v>0</v>
      </c>
      <c r="J15" s="7">
        <v>13971178700</v>
      </c>
      <c r="K15" s="7">
        <v>626315</v>
      </c>
    </row>
    <row r="16" spans="1:11" x14ac:dyDescent="0.3">
      <c r="A16" s="6" t="s">
        <v>130</v>
      </c>
      <c r="B16" s="7">
        <v>0</v>
      </c>
      <c r="C16" s="7">
        <v>0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0</v>
      </c>
      <c r="K16" s="7">
        <v>0</v>
      </c>
    </row>
    <row r="17" spans="1:11" x14ac:dyDescent="0.3">
      <c r="A17" s="6" t="s">
        <v>131</v>
      </c>
      <c r="B17" s="7">
        <v>199955007379</v>
      </c>
      <c r="C17" s="7">
        <v>4504641</v>
      </c>
      <c r="D17" s="7">
        <v>200791243690</v>
      </c>
      <c r="E17" s="7">
        <v>4643962</v>
      </c>
      <c r="F17" s="7">
        <v>226584952980</v>
      </c>
      <c r="G17" s="7">
        <v>6570254</v>
      </c>
      <c r="H17" s="7">
        <v>0</v>
      </c>
      <c r="I17" s="7">
        <v>0</v>
      </c>
      <c r="J17" s="7">
        <v>627331204049</v>
      </c>
      <c r="K17" s="7">
        <v>15718857</v>
      </c>
    </row>
    <row r="18" spans="1:11" x14ac:dyDescent="0.3">
      <c r="A18" s="10" t="s">
        <v>141</v>
      </c>
    </row>
    <row r="19" spans="1:11" x14ac:dyDescent="0.3">
      <c r="A19" s="5" t="s">
        <v>0</v>
      </c>
      <c r="B19" t="s">
        <v>133</v>
      </c>
    </row>
    <row r="20" spans="1:11" x14ac:dyDescent="0.3">
      <c r="A20" s="6">
        <v>2022</v>
      </c>
      <c r="B20" s="7">
        <v>129</v>
      </c>
    </row>
    <row r="21" spans="1:11" x14ac:dyDescent="0.3">
      <c r="A21" s="6">
        <v>2023</v>
      </c>
      <c r="B21" s="7">
        <v>129</v>
      </c>
    </row>
    <row r="22" spans="1:11" x14ac:dyDescent="0.3">
      <c r="A22" s="6">
        <v>2024</v>
      </c>
      <c r="B22" s="7">
        <v>129</v>
      </c>
    </row>
    <row r="23" spans="1:11" x14ac:dyDescent="0.3">
      <c r="A23" s="6" t="s">
        <v>130</v>
      </c>
      <c r="B23" s="7"/>
    </row>
    <row r="24" spans="1:11" x14ac:dyDescent="0.3">
      <c r="A24" s="6" t="s">
        <v>131</v>
      </c>
      <c r="B24" s="7">
        <v>387</v>
      </c>
    </row>
    <row r="26" spans="1:11" x14ac:dyDescent="0.3">
      <c r="A26" s="10" t="s">
        <v>140</v>
      </c>
    </row>
    <row r="27" spans="1:11" x14ac:dyDescent="0.3">
      <c r="A27" s="5" t="s">
        <v>0</v>
      </c>
      <c r="B27" t="s">
        <v>139</v>
      </c>
    </row>
    <row r="28" spans="1:11" x14ac:dyDescent="0.3">
      <c r="A28" s="6">
        <v>2022</v>
      </c>
      <c r="B28" s="7">
        <v>2423122786000</v>
      </c>
    </row>
    <row r="29" spans="1:11" x14ac:dyDescent="0.3">
      <c r="A29" s="6">
        <v>2023</v>
      </c>
      <c r="B29" s="7">
        <v>2443496934000</v>
      </c>
    </row>
    <row r="30" spans="1:11" x14ac:dyDescent="0.3">
      <c r="A30" s="6">
        <v>2024</v>
      </c>
      <c r="B30" s="7">
        <v>2766996321000</v>
      </c>
    </row>
    <row r="31" spans="1:11" x14ac:dyDescent="0.3">
      <c r="A31" s="6" t="s">
        <v>130</v>
      </c>
      <c r="B31" s="7"/>
    </row>
    <row r="32" spans="1:11" x14ac:dyDescent="0.3">
      <c r="A32" s="6" t="s">
        <v>131</v>
      </c>
      <c r="B32" s="7">
        <v>7633616041000</v>
      </c>
    </row>
    <row r="34" spans="1:2" x14ac:dyDescent="0.3">
      <c r="A34" s="10" t="s">
        <v>143</v>
      </c>
    </row>
    <row r="35" spans="1:2" x14ac:dyDescent="0.3">
      <c r="A35" s="5" t="s">
        <v>0</v>
      </c>
      <c r="B35" t="s">
        <v>142</v>
      </c>
    </row>
    <row r="36" spans="1:2" x14ac:dyDescent="0.3">
      <c r="A36" s="6">
        <v>2022</v>
      </c>
      <c r="B36" s="7">
        <v>713638309000</v>
      </c>
    </row>
    <row r="37" spans="1:2" x14ac:dyDescent="0.3">
      <c r="A37" s="6">
        <v>2023</v>
      </c>
      <c r="B37" s="7">
        <v>567350887000</v>
      </c>
    </row>
    <row r="38" spans="1:2" x14ac:dyDescent="0.3">
      <c r="A38" s="6">
        <v>2024</v>
      </c>
      <c r="B38" s="7">
        <v>610527138000</v>
      </c>
    </row>
    <row r="39" spans="1:2" x14ac:dyDescent="0.3">
      <c r="A39" s="6" t="s">
        <v>130</v>
      </c>
      <c r="B39" s="7"/>
    </row>
    <row r="40" spans="1:2" x14ac:dyDescent="0.3">
      <c r="A40" s="6" t="s">
        <v>131</v>
      </c>
      <c r="B40" s="7">
        <v>1891516334000</v>
      </c>
    </row>
  </sheetData>
  <pageMargins left="0.7" right="0.7" top="0.75" bottom="0.75" header="0.3" footer="0.3"/>
  <pageSetup paperSize="9"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1"/>
  <sheetViews>
    <sheetView zoomScale="47" zoomScaleNormal="42" workbookViewId="0">
      <selection activeCell="A18" sqref="A18"/>
    </sheetView>
  </sheetViews>
  <sheetFormatPr defaultRowHeight="14.4" x14ac:dyDescent="0.3"/>
  <cols>
    <col min="1" max="1" width="255.77734375" customWidth="1"/>
    <col min="2" max="2" width="30.77734375" bestFit="1" customWidth="1"/>
    <col min="3" max="3" width="29.21875" style="9" bestFit="1" customWidth="1"/>
    <col min="4" max="4" width="26.77734375" bestFit="1" customWidth="1"/>
  </cols>
  <sheetData>
    <row r="1" spans="1:4" x14ac:dyDescent="0.3">
      <c r="A1" s="5" t="s">
        <v>129</v>
      </c>
      <c r="B1" t="s">
        <v>137</v>
      </c>
      <c r="C1" s="9" t="s">
        <v>134</v>
      </c>
      <c r="D1" t="s">
        <v>138</v>
      </c>
    </row>
    <row r="2" spans="1:4" x14ac:dyDescent="0.3">
      <c r="A2" s="6" t="s">
        <v>44</v>
      </c>
      <c r="B2" s="7">
        <v>3221</v>
      </c>
      <c r="C2" s="9">
        <v>289133000</v>
      </c>
      <c r="D2" s="7">
        <v>89166.666666666672</v>
      </c>
    </row>
    <row r="3" spans="1:4" x14ac:dyDescent="0.3">
      <c r="A3" s="8" t="s">
        <v>33</v>
      </c>
      <c r="B3" s="7">
        <v>3221</v>
      </c>
      <c r="C3" s="9">
        <v>289133000</v>
      </c>
      <c r="D3" s="7">
        <v>89166.666666666672</v>
      </c>
    </row>
    <row r="4" spans="1:4" x14ac:dyDescent="0.3">
      <c r="A4" s="6" t="s">
        <v>38</v>
      </c>
      <c r="B4" s="7">
        <v>24251</v>
      </c>
      <c r="C4" s="9">
        <v>816107500</v>
      </c>
      <c r="D4" s="7">
        <v>33500</v>
      </c>
    </row>
    <row r="5" spans="1:4" x14ac:dyDescent="0.3">
      <c r="A5" s="8" t="s">
        <v>33</v>
      </c>
      <c r="B5" s="7">
        <v>24251</v>
      </c>
      <c r="C5" s="9">
        <v>816107500</v>
      </c>
      <c r="D5" s="7">
        <v>33500</v>
      </c>
    </row>
    <row r="6" spans="1:4" x14ac:dyDescent="0.3">
      <c r="A6" s="6" t="s">
        <v>97</v>
      </c>
      <c r="B6" s="7">
        <v>223584</v>
      </c>
      <c r="C6" s="9">
        <v>324196800</v>
      </c>
      <c r="D6" s="7">
        <v>1450</v>
      </c>
    </row>
    <row r="7" spans="1:4" x14ac:dyDescent="0.3">
      <c r="A7" s="8" t="s">
        <v>91</v>
      </c>
      <c r="B7" s="7">
        <v>223584</v>
      </c>
      <c r="C7" s="9">
        <v>324196800</v>
      </c>
      <c r="D7" s="7">
        <v>1450</v>
      </c>
    </row>
    <row r="8" spans="1:4" x14ac:dyDescent="0.3">
      <c r="A8" s="6" t="s">
        <v>83</v>
      </c>
      <c r="B8" s="7">
        <v>4501</v>
      </c>
      <c r="C8" s="9">
        <v>108024000</v>
      </c>
      <c r="D8" s="7">
        <v>24000</v>
      </c>
    </row>
    <row r="9" spans="1:4" x14ac:dyDescent="0.3">
      <c r="A9" s="8" t="s">
        <v>77</v>
      </c>
      <c r="B9" s="7">
        <v>4501</v>
      </c>
      <c r="C9" s="9">
        <v>108024000</v>
      </c>
      <c r="D9" s="7">
        <v>24000</v>
      </c>
    </row>
    <row r="10" spans="1:4" x14ac:dyDescent="0.3">
      <c r="A10" s="6" t="s">
        <v>86</v>
      </c>
      <c r="B10" s="7">
        <v>13340</v>
      </c>
      <c r="C10" s="9">
        <v>108054000</v>
      </c>
      <c r="D10" s="7">
        <v>8100</v>
      </c>
    </row>
    <row r="11" spans="1:4" x14ac:dyDescent="0.3">
      <c r="A11" s="8" t="s">
        <v>77</v>
      </c>
      <c r="B11" s="7">
        <v>13340</v>
      </c>
      <c r="C11" s="9">
        <v>108054000</v>
      </c>
      <c r="D11" s="7">
        <v>8100</v>
      </c>
    </row>
    <row r="12" spans="1:4" x14ac:dyDescent="0.3">
      <c r="A12" s="6" t="s">
        <v>82</v>
      </c>
      <c r="B12" s="7">
        <v>6319</v>
      </c>
      <c r="C12" s="9">
        <v>108054900</v>
      </c>
      <c r="D12" s="7">
        <v>17100</v>
      </c>
    </row>
    <row r="13" spans="1:4" x14ac:dyDescent="0.3">
      <c r="A13" s="8" t="s">
        <v>77</v>
      </c>
      <c r="B13" s="7">
        <v>6319</v>
      </c>
      <c r="C13" s="9">
        <v>108054900</v>
      </c>
      <c r="D13" s="7">
        <v>17100</v>
      </c>
    </row>
    <row r="14" spans="1:4" x14ac:dyDescent="0.3">
      <c r="A14" s="6" t="s">
        <v>80</v>
      </c>
      <c r="B14" s="7">
        <v>11874</v>
      </c>
      <c r="C14" s="9">
        <v>108053400</v>
      </c>
      <c r="D14" s="7">
        <v>9100</v>
      </c>
    </row>
    <row r="15" spans="1:4" x14ac:dyDescent="0.3">
      <c r="A15" s="8" t="s">
        <v>77</v>
      </c>
      <c r="B15" s="7">
        <v>11874</v>
      </c>
      <c r="C15" s="9">
        <v>108053400</v>
      </c>
      <c r="D15" s="7">
        <v>9100</v>
      </c>
    </row>
    <row r="16" spans="1:4" x14ac:dyDescent="0.3">
      <c r="A16" s="6" t="s">
        <v>78</v>
      </c>
      <c r="B16" s="7">
        <v>13098</v>
      </c>
      <c r="C16" s="9">
        <v>108058500</v>
      </c>
      <c r="D16" s="7">
        <v>8250</v>
      </c>
    </row>
    <row r="17" spans="1:4" x14ac:dyDescent="0.3">
      <c r="A17" s="8" t="s">
        <v>77</v>
      </c>
      <c r="B17" s="7">
        <v>13098</v>
      </c>
      <c r="C17" s="9">
        <v>108058500</v>
      </c>
      <c r="D17" s="7">
        <v>8250</v>
      </c>
    </row>
    <row r="18" spans="1:4" x14ac:dyDescent="0.3">
      <c r="A18" s="6" t="s">
        <v>29</v>
      </c>
      <c r="B18" s="7">
        <v>82731</v>
      </c>
      <c r="C18" s="9">
        <v>890227700</v>
      </c>
      <c r="D18" s="7">
        <v>10616.666666666666</v>
      </c>
    </row>
    <row r="19" spans="1:4" x14ac:dyDescent="0.3">
      <c r="A19" s="8" t="s">
        <v>21</v>
      </c>
      <c r="B19" s="7">
        <v>46659</v>
      </c>
      <c r="C19" s="9">
        <v>523215500</v>
      </c>
      <c r="D19" s="7">
        <v>11133.333333333334</v>
      </c>
    </row>
    <row r="20" spans="1:4" x14ac:dyDescent="0.3">
      <c r="A20" s="8" t="s">
        <v>33</v>
      </c>
      <c r="B20" s="7">
        <v>36072</v>
      </c>
      <c r="C20" s="9">
        <v>367012200</v>
      </c>
      <c r="D20" s="7">
        <v>10100</v>
      </c>
    </row>
    <row r="21" spans="1:4" x14ac:dyDescent="0.3">
      <c r="A21" s="6" t="s">
        <v>69</v>
      </c>
      <c r="B21" s="7">
        <v>19060</v>
      </c>
      <c r="C21" s="9">
        <v>609920000</v>
      </c>
      <c r="D21" s="7">
        <v>32000</v>
      </c>
    </row>
    <row r="22" spans="1:4" x14ac:dyDescent="0.3">
      <c r="A22" s="8" t="s">
        <v>61</v>
      </c>
      <c r="B22" s="7">
        <v>19060</v>
      </c>
      <c r="C22" s="9">
        <v>609920000</v>
      </c>
      <c r="D22" s="7">
        <v>32000</v>
      </c>
    </row>
    <row r="23" spans="1:4" x14ac:dyDescent="0.3">
      <c r="A23" s="6" t="s">
        <v>19</v>
      </c>
      <c r="B23" s="7">
        <v>87241</v>
      </c>
      <c r="C23" s="9">
        <v>755212950</v>
      </c>
      <c r="D23" s="7">
        <v>8596.6666666666661</v>
      </c>
    </row>
    <row r="24" spans="1:4" x14ac:dyDescent="0.3">
      <c r="A24" s="8" t="s">
        <v>13</v>
      </c>
      <c r="B24" s="7">
        <v>87241</v>
      </c>
      <c r="C24" s="9">
        <v>755212950</v>
      </c>
      <c r="D24" s="7">
        <v>8596.6666666666661</v>
      </c>
    </row>
    <row r="25" spans="1:4" x14ac:dyDescent="0.3">
      <c r="A25" s="6" t="s">
        <v>108</v>
      </c>
      <c r="B25" s="7">
        <v>79084</v>
      </c>
      <c r="C25" s="9">
        <v>324244400</v>
      </c>
      <c r="D25" s="7">
        <v>4100</v>
      </c>
    </row>
    <row r="26" spans="1:4" x14ac:dyDescent="0.3">
      <c r="A26" s="8" t="s">
        <v>91</v>
      </c>
      <c r="B26" s="7">
        <v>79084</v>
      </c>
      <c r="C26" s="9">
        <v>324244400</v>
      </c>
      <c r="D26" s="7">
        <v>4100</v>
      </c>
    </row>
    <row r="27" spans="1:4" x14ac:dyDescent="0.3">
      <c r="A27" s="6" t="s">
        <v>103</v>
      </c>
      <c r="B27" s="7">
        <v>170630</v>
      </c>
      <c r="C27" s="9">
        <v>324197000</v>
      </c>
      <c r="D27" s="7">
        <v>1900</v>
      </c>
    </row>
    <row r="28" spans="1:4" x14ac:dyDescent="0.3">
      <c r="A28" s="8" t="s">
        <v>91</v>
      </c>
      <c r="B28" s="7">
        <v>170630</v>
      </c>
      <c r="C28" s="9">
        <v>324197000</v>
      </c>
      <c r="D28" s="7">
        <v>1900</v>
      </c>
    </row>
    <row r="29" spans="1:4" x14ac:dyDescent="0.3">
      <c r="A29" s="6" t="s">
        <v>14</v>
      </c>
      <c r="B29" s="7">
        <v>47277</v>
      </c>
      <c r="C29" s="9">
        <v>914588276</v>
      </c>
      <c r="D29" s="7">
        <v>19226</v>
      </c>
    </row>
    <row r="30" spans="1:4" x14ac:dyDescent="0.3">
      <c r="A30" s="8" t="s">
        <v>13</v>
      </c>
      <c r="B30" s="7">
        <v>47277</v>
      </c>
      <c r="C30" s="9">
        <v>914588276</v>
      </c>
      <c r="D30" s="7">
        <v>19226</v>
      </c>
    </row>
    <row r="31" spans="1:4" x14ac:dyDescent="0.3">
      <c r="A31" s="6" t="s">
        <v>34</v>
      </c>
      <c r="B31" s="7">
        <v>136366</v>
      </c>
      <c r="C31" s="9">
        <v>2623940900</v>
      </c>
      <c r="D31" s="7">
        <v>19233.333333333332</v>
      </c>
    </row>
    <row r="32" spans="1:4" x14ac:dyDescent="0.3">
      <c r="A32" s="8" t="s">
        <v>33</v>
      </c>
      <c r="B32" s="7">
        <v>136366</v>
      </c>
      <c r="C32" s="9">
        <v>2623940900</v>
      </c>
      <c r="D32" s="7">
        <v>19233.333333333332</v>
      </c>
    </row>
    <row r="33" spans="1:4" x14ac:dyDescent="0.3">
      <c r="A33" s="6" t="s">
        <v>35</v>
      </c>
      <c r="B33" s="7">
        <v>67063</v>
      </c>
      <c r="C33" s="9">
        <v>1820330000</v>
      </c>
      <c r="D33" s="7">
        <v>27066.666666666668</v>
      </c>
    </row>
    <row r="34" spans="1:4" x14ac:dyDescent="0.3">
      <c r="A34" s="8" t="s">
        <v>33</v>
      </c>
      <c r="B34" s="7">
        <v>67063</v>
      </c>
      <c r="C34" s="9">
        <v>1820330000</v>
      </c>
      <c r="D34" s="7">
        <v>27066.666666666668</v>
      </c>
    </row>
    <row r="35" spans="1:4" x14ac:dyDescent="0.3">
      <c r="A35" s="6" t="s">
        <v>104</v>
      </c>
      <c r="B35" s="7">
        <v>81049</v>
      </c>
      <c r="C35" s="9">
        <v>324196000</v>
      </c>
      <c r="D35" s="7">
        <v>4000</v>
      </c>
    </row>
    <row r="36" spans="1:4" x14ac:dyDescent="0.3">
      <c r="A36" s="8" t="s">
        <v>91</v>
      </c>
      <c r="B36" s="7">
        <v>81049</v>
      </c>
      <c r="C36" s="9">
        <v>324196000</v>
      </c>
      <c r="D36" s="7">
        <v>4000</v>
      </c>
    </row>
    <row r="37" spans="1:4" x14ac:dyDescent="0.3">
      <c r="A37" s="6" t="s">
        <v>90</v>
      </c>
      <c r="B37" s="7">
        <v>1032</v>
      </c>
      <c r="C37" s="9">
        <v>108360000</v>
      </c>
      <c r="D37" s="7">
        <v>105000</v>
      </c>
    </row>
    <row r="38" spans="1:4" x14ac:dyDescent="0.3">
      <c r="A38" s="8" t="s">
        <v>77</v>
      </c>
      <c r="B38" s="7">
        <v>1032</v>
      </c>
      <c r="C38" s="9">
        <v>108360000</v>
      </c>
      <c r="D38" s="7">
        <v>105000</v>
      </c>
    </row>
    <row r="39" spans="1:4" x14ac:dyDescent="0.3">
      <c r="A39" s="6" t="s">
        <v>89</v>
      </c>
      <c r="B39" s="7">
        <v>1300</v>
      </c>
      <c r="C39" s="9">
        <v>107900000</v>
      </c>
      <c r="D39" s="7">
        <v>83000</v>
      </c>
    </row>
    <row r="40" spans="1:4" x14ac:dyDescent="0.3">
      <c r="A40" s="8" t="s">
        <v>77</v>
      </c>
      <c r="B40" s="7">
        <v>1300</v>
      </c>
      <c r="C40" s="9">
        <v>107900000</v>
      </c>
      <c r="D40" s="7">
        <v>83000</v>
      </c>
    </row>
    <row r="41" spans="1:4" x14ac:dyDescent="0.3">
      <c r="A41" s="6" t="s">
        <v>88</v>
      </c>
      <c r="B41" s="7">
        <v>1499</v>
      </c>
      <c r="C41" s="9">
        <v>107928000</v>
      </c>
      <c r="D41" s="7">
        <v>72000</v>
      </c>
    </row>
    <row r="42" spans="1:4" x14ac:dyDescent="0.3">
      <c r="A42" s="8" t="s">
        <v>77</v>
      </c>
      <c r="B42" s="7">
        <v>1499</v>
      </c>
      <c r="C42" s="9">
        <v>107928000</v>
      </c>
      <c r="D42" s="7">
        <v>72000</v>
      </c>
    </row>
    <row r="43" spans="1:4" x14ac:dyDescent="0.3">
      <c r="A43" s="6" t="s">
        <v>22</v>
      </c>
      <c r="B43" s="7">
        <v>115281</v>
      </c>
      <c r="C43" s="9">
        <v>1990708400</v>
      </c>
      <c r="D43" s="7">
        <v>17233.333333333332</v>
      </c>
    </row>
    <row r="44" spans="1:4" x14ac:dyDescent="0.3">
      <c r="A44" s="8" t="s">
        <v>21</v>
      </c>
      <c r="B44" s="7">
        <v>115281</v>
      </c>
      <c r="C44" s="9">
        <v>1990708400</v>
      </c>
      <c r="D44" s="7">
        <v>17233.333333333332</v>
      </c>
    </row>
    <row r="45" spans="1:4" x14ac:dyDescent="0.3">
      <c r="A45" s="6" t="s">
        <v>67</v>
      </c>
      <c r="B45" s="7">
        <v>21031</v>
      </c>
      <c r="C45" s="9">
        <v>609899000</v>
      </c>
      <c r="D45" s="7">
        <v>29000</v>
      </c>
    </row>
    <row r="46" spans="1:4" x14ac:dyDescent="0.3">
      <c r="A46" s="8" t="s">
        <v>61</v>
      </c>
      <c r="B46" s="7">
        <v>21031</v>
      </c>
      <c r="C46" s="9">
        <v>609899000</v>
      </c>
      <c r="D46" s="7">
        <v>29000</v>
      </c>
    </row>
    <row r="47" spans="1:4" x14ac:dyDescent="0.3">
      <c r="A47" s="6" t="s">
        <v>68</v>
      </c>
      <c r="B47" s="7">
        <v>21031</v>
      </c>
      <c r="C47" s="9">
        <v>609899000</v>
      </c>
      <c r="D47" s="7">
        <v>29000</v>
      </c>
    </row>
    <row r="48" spans="1:4" x14ac:dyDescent="0.3">
      <c r="A48" s="8" t="s">
        <v>61</v>
      </c>
      <c r="B48" s="7">
        <v>21031</v>
      </c>
      <c r="C48" s="9">
        <v>609899000</v>
      </c>
      <c r="D48" s="7">
        <v>29000</v>
      </c>
    </row>
    <row r="49" spans="1:4" x14ac:dyDescent="0.3">
      <c r="A49" s="6" t="s">
        <v>23</v>
      </c>
      <c r="B49" s="7">
        <v>71852</v>
      </c>
      <c r="C49" s="9">
        <v>1808520400</v>
      </c>
      <c r="D49" s="7">
        <v>25066.666666666668</v>
      </c>
    </row>
    <row r="50" spans="1:4" x14ac:dyDescent="0.3">
      <c r="A50" s="8" t="s">
        <v>21</v>
      </c>
      <c r="B50" s="7">
        <v>71852</v>
      </c>
      <c r="C50" s="9">
        <v>1808520400</v>
      </c>
      <c r="D50" s="7">
        <v>25066.666666666668</v>
      </c>
    </row>
    <row r="51" spans="1:4" x14ac:dyDescent="0.3">
      <c r="A51" s="6" t="s">
        <v>105</v>
      </c>
      <c r="B51" s="7">
        <v>498768</v>
      </c>
      <c r="C51" s="9">
        <v>324199200</v>
      </c>
      <c r="D51" s="7">
        <v>650</v>
      </c>
    </row>
    <row r="52" spans="1:4" x14ac:dyDescent="0.3">
      <c r="A52" s="8" t="s">
        <v>91</v>
      </c>
      <c r="B52" s="7">
        <v>498768</v>
      </c>
      <c r="C52" s="9">
        <v>324199200</v>
      </c>
      <c r="D52" s="7">
        <v>650</v>
      </c>
    </row>
    <row r="53" spans="1:4" x14ac:dyDescent="0.3">
      <c r="A53" s="6" t="s">
        <v>52</v>
      </c>
      <c r="B53" s="7">
        <v>652836</v>
      </c>
      <c r="C53" s="9">
        <v>36801472000</v>
      </c>
      <c r="D53" s="7">
        <v>56333.333333333336</v>
      </c>
    </row>
    <row r="54" spans="1:4" x14ac:dyDescent="0.3">
      <c r="A54" s="8" t="s">
        <v>48</v>
      </c>
      <c r="B54" s="7">
        <v>652836</v>
      </c>
      <c r="C54" s="9">
        <v>36801472000</v>
      </c>
      <c r="D54" s="7">
        <v>56333.333333333336</v>
      </c>
    </row>
    <row r="55" spans="1:4" x14ac:dyDescent="0.3">
      <c r="A55" s="6" t="s">
        <v>58</v>
      </c>
      <c r="B55" s="7">
        <v>242629</v>
      </c>
      <c r="C55" s="9">
        <v>20231652000</v>
      </c>
      <c r="D55" s="7">
        <v>83333.333333333328</v>
      </c>
    </row>
    <row r="56" spans="1:4" x14ac:dyDescent="0.3">
      <c r="A56" s="8" t="s">
        <v>48</v>
      </c>
      <c r="B56" s="7">
        <v>242629</v>
      </c>
      <c r="C56" s="9">
        <v>20231652000</v>
      </c>
      <c r="D56" s="7">
        <v>83333.333333333328</v>
      </c>
    </row>
    <row r="57" spans="1:4" x14ac:dyDescent="0.3">
      <c r="A57" s="6" t="s">
        <v>53</v>
      </c>
      <c r="B57" s="7">
        <v>453955</v>
      </c>
      <c r="C57" s="9">
        <v>32327887500</v>
      </c>
      <c r="D57" s="7">
        <v>71166.666666666672</v>
      </c>
    </row>
    <row r="58" spans="1:4" x14ac:dyDescent="0.3">
      <c r="A58" s="8" t="s">
        <v>48</v>
      </c>
      <c r="B58" s="7">
        <v>453955</v>
      </c>
      <c r="C58" s="9">
        <v>32327887500</v>
      </c>
      <c r="D58" s="7">
        <v>71166.666666666672</v>
      </c>
    </row>
    <row r="59" spans="1:4" x14ac:dyDescent="0.3">
      <c r="A59" s="6" t="s">
        <v>74</v>
      </c>
      <c r="B59" s="7">
        <v>23458</v>
      </c>
      <c r="C59" s="9">
        <v>609908000</v>
      </c>
      <c r="D59" s="7">
        <v>26000</v>
      </c>
    </row>
    <row r="60" spans="1:4" x14ac:dyDescent="0.3">
      <c r="A60" s="8" t="s">
        <v>61</v>
      </c>
      <c r="B60" s="7">
        <v>23458</v>
      </c>
      <c r="C60" s="9">
        <v>609908000</v>
      </c>
      <c r="D60" s="7">
        <v>26000</v>
      </c>
    </row>
    <row r="61" spans="1:4" x14ac:dyDescent="0.3">
      <c r="A61" s="6" t="s">
        <v>28</v>
      </c>
      <c r="B61" s="7">
        <v>112322</v>
      </c>
      <c r="C61" s="9">
        <v>884705500</v>
      </c>
      <c r="D61" s="7">
        <v>7741.666666666667</v>
      </c>
    </row>
    <row r="62" spans="1:4" x14ac:dyDescent="0.3">
      <c r="A62" s="8" t="s">
        <v>21</v>
      </c>
      <c r="B62" s="7">
        <v>65558</v>
      </c>
      <c r="C62" s="9">
        <v>542909900</v>
      </c>
      <c r="D62" s="7">
        <v>8233.3333333333339</v>
      </c>
    </row>
    <row r="63" spans="1:4" x14ac:dyDescent="0.3">
      <c r="A63" s="8" t="s">
        <v>33</v>
      </c>
      <c r="B63" s="7">
        <v>46764</v>
      </c>
      <c r="C63" s="9">
        <v>341795600</v>
      </c>
      <c r="D63" s="7">
        <v>7250</v>
      </c>
    </row>
    <row r="64" spans="1:4" x14ac:dyDescent="0.3">
      <c r="A64" s="6" t="s">
        <v>96</v>
      </c>
      <c r="B64" s="7">
        <v>240147</v>
      </c>
      <c r="C64" s="9">
        <v>324198450</v>
      </c>
      <c r="D64" s="7">
        <v>1350</v>
      </c>
    </row>
    <row r="65" spans="1:4" x14ac:dyDescent="0.3">
      <c r="A65" s="8" t="s">
        <v>91</v>
      </c>
      <c r="B65" s="7">
        <v>240147</v>
      </c>
      <c r="C65" s="9">
        <v>324198450</v>
      </c>
      <c r="D65" s="7">
        <v>1350</v>
      </c>
    </row>
    <row r="66" spans="1:4" x14ac:dyDescent="0.3">
      <c r="A66" s="6" t="s">
        <v>95</v>
      </c>
      <c r="B66" s="7">
        <v>249383</v>
      </c>
      <c r="C66" s="9">
        <v>324197900</v>
      </c>
      <c r="D66" s="7">
        <v>1300</v>
      </c>
    </row>
    <row r="67" spans="1:4" x14ac:dyDescent="0.3">
      <c r="A67" s="8" t="s">
        <v>91</v>
      </c>
      <c r="B67" s="7">
        <v>249383</v>
      </c>
      <c r="C67" s="9">
        <v>324197900</v>
      </c>
      <c r="D67" s="7">
        <v>1300</v>
      </c>
    </row>
    <row r="68" spans="1:4" x14ac:dyDescent="0.3">
      <c r="A68" s="6" t="s">
        <v>75</v>
      </c>
      <c r="B68" s="7">
        <v>16942</v>
      </c>
      <c r="C68" s="9">
        <v>609912000</v>
      </c>
      <c r="D68" s="7">
        <v>36000</v>
      </c>
    </row>
    <row r="69" spans="1:4" x14ac:dyDescent="0.3">
      <c r="A69" s="8" t="s">
        <v>61</v>
      </c>
      <c r="B69" s="7">
        <v>16942</v>
      </c>
      <c r="C69" s="9">
        <v>609912000</v>
      </c>
      <c r="D69" s="7">
        <v>36000</v>
      </c>
    </row>
    <row r="70" spans="1:4" x14ac:dyDescent="0.3">
      <c r="A70" s="6" t="s">
        <v>18</v>
      </c>
      <c r="B70" s="7">
        <v>138563</v>
      </c>
      <c r="C70" s="9">
        <v>767637360</v>
      </c>
      <c r="D70" s="7">
        <v>5497.666666666667</v>
      </c>
    </row>
    <row r="71" spans="1:4" x14ac:dyDescent="0.3">
      <c r="A71" s="8" t="s">
        <v>13</v>
      </c>
      <c r="B71" s="7">
        <v>138563</v>
      </c>
      <c r="C71" s="9">
        <v>767637360</v>
      </c>
      <c r="D71" s="7">
        <v>5497.666666666667</v>
      </c>
    </row>
    <row r="72" spans="1:4" x14ac:dyDescent="0.3">
      <c r="A72" s="6" t="s">
        <v>85</v>
      </c>
      <c r="B72" s="7">
        <v>5194</v>
      </c>
      <c r="C72" s="9">
        <v>108035200</v>
      </c>
      <c r="D72" s="7">
        <v>20800</v>
      </c>
    </row>
    <row r="73" spans="1:4" x14ac:dyDescent="0.3">
      <c r="A73" s="8" t="s">
        <v>77</v>
      </c>
      <c r="B73" s="7">
        <v>5194</v>
      </c>
      <c r="C73" s="9">
        <v>108035200</v>
      </c>
      <c r="D73" s="7">
        <v>20800</v>
      </c>
    </row>
    <row r="74" spans="1:4" x14ac:dyDescent="0.3">
      <c r="A74" s="6" t="s">
        <v>84</v>
      </c>
      <c r="B74" s="7">
        <v>7904</v>
      </c>
      <c r="C74" s="9">
        <v>108047680</v>
      </c>
      <c r="D74" s="7">
        <v>13670</v>
      </c>
    </row>
    <row r="75" spans="1:4" x14ac:dyDescent="0.3">
      <c r="A75" s="8" t="s">
        <v>77</v>
      </c>
      <c r="B75" s="7">
        <v>7904</v>
      </c>
      <c r="C75" s="9">
        <v>108047680</v>
      </c>
      <c r="D75" s="7">
        <v>13670</v>
      </c>
    </row>
    <row r="76" spans="1:4" x14ac:dyDescent="0.3">
      <c r="A76" s="6" t="s">
        <v>81</v>
      </c>
      <c r="B76" s="7">
        <v>9562</v>
      </c>
      <c r="C76" s="9">
        <v>108050600</v>
      </c>
      <c r="D76" s="7">
        <v>11300</v>
      </c>
    </row>
    <row r="77" spans="1:4" x14ac:dyDescent="0.3">
      <c r="A77" s="8" t="s">
        <v>77</v>
      </c>
      <c r="B77" s="7">
        <v>9562</v>
      </c>
      <c r="C77" s="9">
        <v>108050600</v>
      </c>
      <c r="D77" s="7">
        <v>11300</v>
      </c>
    </row>
    <row r="78" spans="1:4" x14ac:dyDescent="0.3">
      <c r="A78" s="6" t="s">
        <v>55</v>
      </c>
      <c r="B78" s="7">
        <v>271508</v>
      </c>
      <c r="C78" s="9">
        <v>26167488000</v>
      </c>
      <c r="D78" s="7">
        <v>96333.333333333328</v>
      </c>
    </row>
    <row r="79" spans="1:4" x14ac:dyDescent="0.3">
      <c r="A79" s="8" t="s">
        <v>48</v>
      </c>
      <c r="B79" s="7">
        <v>271508</v>
      </c>
      <c r="C79" s="9">
        <v>26167488000</v>
      </c>
      <c r="D79" s="7">
        <v>96333.333333333328</v>
      </c>
    </row>
    <row r="80" spans="1:4" x14ac:dyDescent="0.3">
      <c r="A80" s="6" t="s">
        <v>37</v>
      </c>
      <c r="B80" s="7">
        <v>1549</v>
      </c>
      <c r="C80" s="9">
        <v>1057910000</v>
      </c>
      <c r="D80" s="7">
        <v>680000</v>
      </c>
    </row>
    <row r="81" spans="1:4" x14ac:dyDescent="0.3">
      <c r="A81" s="8" t="s">
        <v>33</v>
      </c>
      <c r="B81" s="7">
        <v>1549</v>
      </c>
      <c r="C81" s="9">
        <v>1057910000</v>
      </c>
      <c r="D81" s="7">
        <v>680000</v>
      </c>
    </row>
    <row r="82" spans="1:4" x14ac:dyDescent="0.3">
      <c r="A82" s="6" t="s">
        <v>40</v>
      </c>
      <c r="B82" s="7">
        <v>623</v>
      </c>
      <c r="C82" s="9">
        <v>784440000</v>
      </c>
      <c r="D82" s="7">
        <v>1260000</v>
      </c>
    </row>
    <row r="83" spans="1:4" x14ac:dyDescent="0.3">
      <c r="A83" s="8" t="s">
        <v>33</v>
      </c>
      <c r="B83" s="7">
        <v>623</v>
      </c>
      <c r="C83" s="9">
        <v>784440000</v>
      </c>
      <c r="D83" s="7">
        <v>1260000</v>
      </c>
    </row>
    <row r="84" spans="1:4" x14ac:dyDescent="0.3">
      <c r="A84" s="6" t="s">
        <v>36</v>
      </c>
      <c r="B84" s="7">
        <v>1451</v>
      </c>
      <c r="C84" s="9">
        <v>1298430000</v>
      </c>
      <c r="D84" s="7">
        <v>890000</v>
      </c>
    </row>
    <row r="85" spans="1:4" x14ac:dyDescent="0.3">
      <c r="A85" s="8" t="s">
        <v>33</v>
      </c>
      <c r="B85" s="7">
        <v>1451</v>
      </c>
      <c r="C85" s="9">
        <v>1298430000</v>
      </c>
      <c r="D85" s="7">
        <v>890000</v>
      </c>
    </row>
    <row r="86" spans="1:4" x14ac:dyDescent="0.3">
      <c r="A86" s="6" t="s">
        <v>62</v>
      </c>
      <c r="B86" s="7">
        <v>21031</v>
      </c>
      <c r="C86" s="9">
        <v>609899000</v>
      </c>
      <c r="D86" s="7">
        <v>29000</v>
      </c>
    </row>
    <row r="87" spans="1:4" x14ac:dyDescent="0.3">
      <c r="A87" s="8" t="s">
        <v>61</v>
      </c>
      <c r="B87" s="7">
        <v>21031</v>
      </c>
      <c r="C87" s="9">
        <v>609899000</v>
      </c>
      <c r="D87" s="7">
        <v>29000</v>
      </c>
    </row>
    <row r="88" spans="1:4" x14ac:dyDescent="0.3">
      <c r="A88" s="6" t="s">
        <v>98</v>
      </c>
      <c r="B88" s="7">
        <v>162099</v>
      </c>
      <c r="C88" s="9">
        <v>324198000</v>
      </c>
      <c r="D88" s="7">
        <v>2000</v>
      </c>
    </row>
    <row r="89" spans="1:4" x14ac:dyDescent="0.3">
      <c r="A89" s="8" t="s">
        <v>91</v>
      </c>
      <c r="B89" s="7">
        <v>162099</v>
      </c>
      <c r="C89" s="9">
        <v>324198000</v>
      </c>
      <c r="D89" s="7">
        <v>2000</v>
      </c>
    </row>
    <row r="90" spans="1:4" x14ac:dyDescent="0.3">
      <c r="A90" s="6" t="s">
        <v>66</v>
      </c>
      <c r="B90" s="7">
        <v>19060</v>
      </c>
      <c r="C90" s="9">
        <v>609920000</v>
      </c>
      <c r="D90" s="7">
        <v>32000</v>
      </c>
    </row>
    <row r="91" spans="1:4" x14ac:dyDescent="0.3">
      <c r="A91" s="8" t="s">
        <v>61</v>
      </c>
      <c r="B91" s="7">
        <v>19060</v>
      </c>
      <c r="C91" s="9">
        <v>609920000</v>
      </c>
      <c r="D91" s="7">
        <v>32000</v>
      </c>
    </row>
    <row r="92" spans="1:4" x14ac:dyDescent="0.3">
      <c r="A92" s="6" t="s">
        <v>65</v>
      </c>
      <c r="B92" s="7">
        <v>19060</v>
      </c>
      <c r="C92" s="9">
        <v>609920000</v>
      </c>
      <c r="D92" s="7">
        <v>32000</v>
      </c>
    </row>
    <row r="93" spans="1:4" x14ac:dyDescent="0.3">
      <c r="A93" s="8" t="s">
        <v>61</v>
      </c>
      <c r="B93" s="7">
        <v>19060</v>
      </c>
      <c r="C93" s="9">
        <v>609920000</v>
      </c>
      <c r="D93" s="7">
        <v>32000</v>
      </c>
    </row>
    <row r="94" spans="1:4" x14ac:dyDescent="0.3">
      <c r="A94" s="6" t="s">
        <v>64</v>
      </c>
      <c r="B94" s="7">
        <v>19674</v>
      </c>
      <c r="C94" s="9">
        <v>609894000</v>
      </c>
      <c r="D94" s="7">
        <v>31000</v>
      </c>
    </row>
    <row r="95" spans="1:4" x14ac:dyDescent="0.3">
      <c r="A95" s="8" t="s">
        <v>61</v>
      </c>
      <c r="B95" s="7">
        <v>19674</v>
      </c>
      <c r="C95" s="9">
        <v>609894000</v>
      </c>
      <c r="D95" s="7">
        <v>31000</v>
      </c>
    </row>
    <row r="96" spans="1:4" x14ac:dyDescent="0.3">
      <c r="A96" s="6" t="s">
        <v>63</v>
      </c>
      <c r="B96" s="7">
        <v>19674</v>
      </c>
      <c r="C96" s="9">
        <v>609894000</v>
      </c>
      <c r="D96" s="7">
        <v>31000</v>
      </c>
    </row>
    <row r="97" spans="1:4" x14ac:dyDescent="0.3">
      <c r="A97" s="8" t="s">
        <v>61</v>
      </c>
      <c r="B97" s="7">
        <v>19674</v>
      </c>
      <c r="C97" s="9">
        <v>609894000</v>
      </c>
      <c r="D97" s="7">
        <v>31000</v>
      </c>
    </row>
    <row r="98" spans="1:4" x14ac:dyDescent="0.3">
      <c r="A98" s="6" t="s">
        <v>30</v>
      </c>
      <c r="B98" s="7">
        <v>37664</v>
      </c>
      <c r="C98" s="9">
        <v>489420900</v>
      </c>
      <c r="D98" s="7">
        <v>12900</v>
      </c>
    </row>
    <row r="99" spans="1:4" x14ac:dyDescent="0.3">
      <c r="A99" s="8" t="s">
        <v>21</v>
      </c>
      <c r="B99" s="7">
        <v>37664</v>
      </c>
      <c r="C99" s="9">
        <v>489420900</v>
      </c>
      <c r="D99" s="7">
        <v>12900</v>
      </c>
    </row>
    <row r="100" spans="1:4" x14ac:dyDescent="0.3">
      <c r="A100" s="6" t="s">
        <v>15</v>
      </c>
      <c r="B100" s="7">
        <v>132521</v>
      </c>
      <c r="C100" s="9">
        <v>1422605204</v>
      </c>
      <c r="D100" s="7">
        <v>10598</v>
      </c>
    </row>
    <row r="101" spans="1:4" x14ac:dyDescent="0.3">
      <c r="A101" s="8" t="s">
        <v>13</v>
      </c>
      <c r="B101" s="7">
        <v>58456</v>
      </c>
      <c r="C101" s="9">
        <v>620363204</v>
      </c>
      <c r="D101" s="7">
        <v>10496</v>
      </c>
    </row>
    <row r="102" spans="1:4" x14ac:dyDescent="0.3">
      <c r="A102" s="8" t="s">
        <v>33</v>
      </c>
      <c r="B102" s="7">
        <v>74065</v>
      </c>
      <c r="C102" s="9">
        <v>802242000</v>
      </c>
      <c r="D102" s="7">
        <v>10700</v>
      </c>
    </row>
    <row r="103" spans="1:4" x14ac:dyDescent="0.3">
      <c r="A103" s="6" t="s">
        <v>102</v>
      </c>
      <c r="B103" s="7">
        <v>190705</v>
      </c>
      <c r="C103" s="9">
        <v>324198500</v>
      </c>
      <c r="D103" s="7">
        <v>1700</v>
      </c>
    </row>
    <row r="104" spans="1:4" x14ac:dyDescent="0.3">
      <c r="A104" s="8" t="s">
        <v>91</v>
      </c>
      <c r="B104" s="7">
        <v>190705</v>
      </c>
      <c r="C104" s="9">
        <v>324198500</v>
      </c>
      <c r="D104" s="7">
        <v>1700</v>
      </c>
    </row>
    <row r="105" spans="1:4" x14ac:dyDescent="0.3">
      <c r="A105" s="6" t="s">
        <v>101</v>
      </c>
      <c r="B105" s="7">
        <v>180110</v>
      </c>
      <c r="C105" s="9">
        <v>324198000</v>
      </c>
      <c r="D105" s="7">
        <v>1800</v>
      </c>
    </row>
    <row r="106" spans="1:4" x14ac:dyDescent="0.3">
      <c r="A106" s="8" t="s">
        <v>91</v>
      </c>
      <c r="B106" s="7">
        <v>180110</v>
      </c>
      <c r="C106" s="9">
        <v>324198000</v>
      </c>
      <c r="D106" s="7">
        <v>1800</v>
      </c>
    </row>
    <row r="107" spans="1:4" x14ac:dyDescent="0.3">
      <c r="A107" s="6" t="s">
        <v>25</v>
      </c>
      <c r="B107" s="7">
        <v>128108</v>
      </c>
      <c r="C107" s="9">
        <v>1147696300</v>
      </c>
      <c r="D107" s="7">
        <v>8933.3333333333339</v>
      </c>
    </row>
    <row r="108" spans="1:4" x14ac:dyDescent="0.3">
      <c r="A108" s="8" t="s">
        <v>21</v>
      </c>
      <c r="B108" s="7">
        <v>128108</v>
      </c>
      <c r="C108" s="9">
        <v>1147696300</v>
      </c>
      <c r="D108" s="7">
        <v>8933.3333333333339</v>
      </c>
    </row>
    <row r="109" spans="1:4" x14ac:dyDescent="0.3">
      <c r="A109" s="6" t="s">
        <v>24</v>
      </c>
      <c r="B109" s="7">
        <v>110631</v>
      </c>
      <c r="C109" s="9">
        <v>1314485700</v>
      </c>
      <c r="D109" s="7">
        <v>11833.333333333334</v>
      </c>
    </row>
    <row r="110" spans="1:4" x14ac:dyDescent="0.3">
      <c r="A110" s="8" t="s">
        <v>21</v>
      </c>
      <c r="B110" s="7">
        <v>110631</v>
      </c>
      <c r="C110" s="9">
        <v>1314485700</v>
      </c>
      <c r="D110" s="7">
        <v>11833.333333333334</v>
      </c>
    </row>
    <row r="111" spans="1:4" x14ac:dyDescent="0.3">
      <c r="A111" s="6" t="s">
        <v>87</v>
      </c>
      <c r="B111" s="7">
        <v>432251</v>
      </c>
      <c r="C111" s="9">
        <v>108062750</v>
      </c>
      <c r="D111" s="7">
        <v>250</v>
      </c>
    </row>
    <row r="112" spans="1:4" x14ac:dyDescent="0.3">
      <c r="A112" s="8" t="s">
        <v>77</v>
      </c>
      <c r="B112" s="7">
        <v>432251</v>
      </c>
      <c r="C112" s="9">
        <v>108062750</v>
      </c>
      <c r="D112" s="7">
        <v>250</v>
      </c>
    </row>
    <row r="113" spans="1:4" x14ac:dyDescent="0.3">
      <c r="A113" s="6" t="s">
        <v>54</v>
      </c>
      <c r="B113" s="7">
        <v>839428</v>
      </c>
      <c r="C113" s="9">
        <v>30537054000</v>
      </c>
      <c r="D113" s="7">
        <v>36333.333333333336</v>
      </c>
    </row>
    <row r="114" spans="1:4" x14ac:dyDescent="0.3">
      <c r="A114" s="8" t="s">
        <v>48</v>
      </c>
      <c r="B114" s="7">
        <v>839428</v>
      </c>
      <c r="C114" s="9">
        <v>30537054000</v>
      </c>
      <c r="D114" s="7">
        <v>36333.333333333336</v>
      </c>
    </row>
    <row r="115" spans="1:4" x14ac:dyDescent="0.3">
      <c r="A115" s="6" t="s">
        <v>10</v>
      </c>
      <c r="B115" s="7">
        <v>24119</v>
      </c>
      <c r="C115" s="9">
        <v>244420400</v>
      </c>
      <c r="D115" s="7">
        <v>10233.333333333334</v>
      </c>
    </row>
    <row r="116" spans="1:4" x14ac:dyDescent="0.3">
      <c r="A116" s="8" t="s">
        <v>12</v>
      </c>
      <c r="B116" s="7">
        <v>24119</v>
      </c>
      <c r="C116" s="9">
        <v>244420400</v>
      </c>
      <c r="D116" s="7">
        <v>10233.333333333334</v>
      </c>
    </row>
    <row r="117" spans="1:4" x14ac:dyDescent="0.3">
      <c r="A117" s="6" t="s">
        <v>9</v>
      </c>
      <c r="B117" s="7">
        <v>44793</v>
      </c>
      <c r="C117" s="9">
        <v>431782000</v>
      </c>
      <c r="D117" s="7">
        <v>9766.6666666666661</v>
      </c>
    </row>
    <row r="118" spans="1:4" x14ac:dyDescent="0.3">
      <c r="A118" s="8" t="s">
        <v>12</v>
      </c>
      <c r="B118" s="7">
        <v>44793</v>
      </c>
      <c r="C118" s="9">
        <v>431782000</v>
      </c>
      <c r="D118" s="7">
        <v>9766.6666666666661</v>
      </c>
    </row>
    <row r="119" spans="1:4" x14ac:dyDescent="0.3">
      <c r="A119" s="6" t="s">
        <v>8</v>
      </c>
      <c r="B119" s="7">
        <v>87450</v>
      </c>
      <c r="C119" s="9">
        <v>731314500</v>
      </c>
      <c r="D119" s="7">
        <v>8466.6666666666661</v>
      </c>
    </row>
    <row r="120" spans="1:4" x14ac:dyDescent="0.3">
      <c r="A120" s="8" t="s">
        <v>12</v>
      </c>
      <c r="B120" s="7">
        <v>87450</v>
      </c>
      <c r="C120" s="9">
        <v>731314500</v>
      </c>
      <c r="D120" s="7">
        <v>8466.6666666666661</v>
      </c>
    </row>
    <row r="121" spans="1:4" x14ac:dyDescent="0.3">
      <c r="A121" s="6" t="s">
        <v>7</v>
      </c>
      <c r="B121" s="7">
        <v>164882</v>
      </c>
      <c r="C121" s="9">
        <v>1349920000</v>
      </c>
      <c r="D121" s="7">
        <v>8266.6666666666661</v>
      </c>
    </row>
    <row r="122" spans="1:4" x14ac:dyDescent="0.3">
      <c r="A122" s="8" t="s">
        <v>12</v>
      </c>
      <c r="B122" s="7">
        <v>164882</v>
      </c>
      <c r="C122" s="9">
        <v>1349920000</v>
      </c>
      <c r="D122" s="7">
        <v>8266.6666666666661</v>
      </c>
    </row>
    <row r="123" spans="1:4" x14ac:dyDescent="0.3">
      <c r="A123" s="6" t="s">
        <v>11</v>
      </c>
      <c r="B123" s="7">
        <v>2981</v>
      </c>
      <c r="C123" s="9">
        <v>38234800</v>
      </c>
      <c r="D123" s="7">
        <v>12900</v>
      </c>
    </row>
    <row r="124" spans="1:4" x14ac:dyDescent="0.3">
      <c r="A124" s="8" t="s">
        <v>12</v>
      </c>
      <c r="B124" s="7">
        <v>2981</v>
      </c>
      <c r="C124" s="9">
        <v>38234800</v>
      </c>
      <c r="D124" s="7">
        <v>12900</v>
      </c>
    </row>
    <row r="125" spans="1:4" x14ac:dyDescent="0.3">
      <c r="A125" s="6" t="s">
        <v>5</v>
      </c>
      <c r="B125" s="7">
        <v>310256</v>
      </c>
      <c r="C125" s="9">
        <v>1434637500</v>
      </c>
      <c r="D125" s="7">
        <v>4666.666666666667</v>
      </c>
    </row>
    <row r="126" spans="1:4" x14ac:dyDescent="0.3">
      <c r="A126" s="8" t="s">
        <v>12</v>
      </c>
      <c r="B126" s="7">
        <v>310256</v>
      </c>
      <c r="C126" s="9">
        <v>1434637500</v>
      </c>
      <c r="D126" s="7">
        <v>4666.666666666667</v>
      </c>
    </row>
    <row r="127" spans="1:4" x14ac:dyDescent="0.3">
      <c r="A127" s="6" t="s">
        <v>6</v>
      </c>
      <c r="B127" s="7">
        <v>222947</v>
      </c>
      <c r="C127" s="9">
        <v>1142771700</v>
      </c>
      <c r="D127" s="7">
        <v>5166.666666666667</v>
      </c>
    </row>
    <row r="128" spans="1:4" x14ac:dyDescent="0.3">
      <c r="A128" s="8" t="s">
        <v>12</v>
      </c>
      <c r="B128" s="7">
        <v>222947</v>
      </c>
      <c r="C128" s="9">
        <v>1142771700</v>
      </c>
      <c r="D128" s="7">
        <v>5166.666666666667</v>
      </c>
    </row>
    <row r="129" spans="1:4" x14ac:dyDescent="0.3">
      <c r="A129" s="6" t="s">
        <v>94</v>
      </c>
      <c r="B129" s="7">
        <v>259359</v>
      </c>
      <c r="C129" s="9">
        <v>324198750</v>
      </c>
      <c r="D129" s="7">
        <v>1250</v>
      </c>
    </row>
    <row r="130" spans="1:4" x14ac:dyDescent="0.3">
      <c r="A130" s="8" t="s">
        <v>91</v>
      </c>
      <c r="B130" s="7">
        <v>259359</v>
      </c>
      <c r="C130" s="9">
        <v>324198750</v>
      </c>
      <c r="D130" s="7">
        <v>1250</v>
      </c>
    </row>
    <row r="131" spans="1:4" x14ac:dyDescent="0.3">
      <c r="A131" s="6" t="s">
        <v>76</v>
      </c>
      <c r="B131" s="7">
        <v>19060</v>
      </c>
      <c r="C131" s="9">
        <v>609920000</v>
      </c>
      <c r="D131" s="7">
        <v>32000</v>
      </c>
    </row>
    <row r="132" spans="1:4" x14ac:dyDescent="0.3">
      <c r="A132" s="8" t="s">
        <v>61</v>
      </c>
      <c r="B132" s="7">
        <v>19060</v>
      </c>
      <c r="C132" s="9">
        <v>609920000</v>
      </c>
      <c r="D132" s="7">
        <v>32000</v>
      </c>
    </row>
    <row r="133" spans="1:4" x14ac:dyDescent="0.3">
      <c r="A133" s="6" t="s">
        <v>92</v>
      </c>
      <c r="B133" s="7">
        <v>341262</v>
      </c>
      <c r="C133" s="9">
        <v>324198900</v>
      </c>
      <c r="D133" s="7">
        <v>950</v>
      </c>
    </row>
    <row r="134" spans="1:4" x14ac:dyDescent="0.3">
      <c r="A134" s="8" t="s">
        <v>91</v>
      </c>
      <c r="B134" s="7">
        <v>341262</v>
      </c>
      <c r="C134" s="9">
        <v>324198900</v>
      </c>
      <c r="D134" s="7">
        <v>950</v>
      </c>
    </row>
    <row r="135" spans="1:4" x14ac:dyDescent="0.3">
      <c r="A135" s="6" t="s">
        <v>73</v>
      </c>
      <c r="B135" s="7">
        <v>17425</v>
      </c>
      <c r="C135" s="9">
        <v>609875000</v>
      </c>
      <c r="D135" s="7">
        <v>35000</v>
      </c>
    </row>
    <row r="136" spans="1:4" x14ac:dyDescent="0.3">
      <c r="A136" s="8" t="s">
        <v>61</v>
      </c>
      <c r="B136" s="7">
        <v>17425</v>
      </c>
      <c r="C136" s="9">
        <v>609875000</v>
      </c>
      <c r="D136" s="7">
        <v>35000</v>
      </c>
    </row>
    <row r="137" spans="1:4" x14ac:dyDescent="0.3">
      <c r="A137" s="6" t="s">
        <v>72</v>
      </c>
      <c r="B137" s="7">
        <v>17425</v>
      </c>
      <c r="C137" s="9">
        <v>609875000</v>
      </c>
      <c r="D137" s="7">
        <v>35000</v>
      </c>
    </row>
    <row r="138" spans="1:4" x14ac:dyDescent="0.3">
      <c r="A138" s="8" t="s">
        <v>61</v>
      </c>
      <c r="B138" s="7">
        <v>17425</v>
      </c>
      <c r="C138" s="9">
        <v>609875000</v>
      </c>
      <c r="D138" s="7">
        <v>35000</v>
      </c>
    </row>
    <row r="139" spans="1:4" x14ac:dyDescent="0.3">
      <c r="A139" s="6" t="s">
        <v>70</v>
      </c>
      <c r="B139" s="7">
        <v>18482</v>
      </c>
      <c r="C139" s="9">
        <v>609906000</v>
      </c>
      <c r="D139" s="7">
        <v>33000</v>
      </c>
    </row>
    <row r="140" spans="1:4" x14ac:dyDescent="0.3">
      <c r="A140" s="8" t="s">
        <v>61</v>
      </c>
      <c r="B140" s="7">
        <v>18482</v>
      </c>
      <c r="C140" s="9">
        <v>609906000</v>
      </c>
      <c r="D140" s="7">
        <v>33000</v>
      </c>
    </row>
    <row r="141" spans="1:4" x14ac:dyDescent="0.3">
      <c r="A141" s="6" t="s">
        <v>71</v>
      </c>
      <c r="B141" s="7">
        <v>17425</v>
      </c>
      <c r="C141" s="9">
        <v>609875000</v>
      </c>
      <c r="D141" s="7">
        <v>35000</v>
      </c>
    </row>
    <row r="142" spans="1:4" x14ac:dyDescent="0.3">
      <c r="A142" s="8" t="s">
        <v>61</v>
      </c>
      <c r="B142" s="7">
        <v>17425</v>
      </c>
      <c r="C142" s="9">
        <v>609875000</v>
      </c>
      <c r="D142" s="7">
        <v>35000</v>
      </c>
    </row>
    <row r="143" spans="1:4" x14ac:dyDescent="0.3">
      <c r="A143" s="6" t="s">
        <v>17</v>
      </c>
      <c r="B143" s="7">
        <v>231228</v>
      </c>
      <c r="C143" s="9">
        <v>1863552036</v>
      </c>
      <c r="D143" s="7">
        <v>8288</v>
      </c>
    </row>
    <row r="144" spans="1:4" x14ac:dyDescent="0.3">
      <c r="A144" s="8" t="s">
        <v>13</v>
      </c>
      <c r="B144" s="7">
        <v>110723</v>
      </c>
      <c r="C144" s="9">
        <v>773048236</v>
      </c>
      <c r="D144" s="7">
        <v>6930.666666666667</v>
      </c>
    </row>
    <row r="145" spans="1:4" x14ac:dyDescent="0.3">
      <c r="A145" s="8" t="s">
        <v>21</v>
      </c>
      <c r="B145" s="7">
        <v>62931</v>
      </c>
      <c r="C145" s="9">
        <v>615422600</v>
      </c>
      <c r="D145" s="7">
        <v>9733.3333333333339</v>
      </c>
    </row>
    <row r="146" spans="1:4" x14ac:dyDescent="0.3">
      <c r="A146" s="8" t="s">
        <v>33</v>
      </c>
      <c r="B146" s="7">
        <v>57574</v>
      </c>
      <c r="C146" s="9">
        <v>475081200</v>
      </c>
      <c r="D146" s="7">
        <v>8200</v>
      </c>
    </row>
    <row r="147" spans="1:4" x14ac:dyDescent="0.3">
      <c r="A147" s="6" t="s">
        <v>51</v>
      </c>
      <c r="B147" s="7">
        <v>1137897</v>
      </c>
      <c r="C147" s="9">
        <v>75330788500</v>
      </c>
      <c r="D147" s="7">
        <v>66166.666666666672</v>
      </c>
    </row>
    <row r="148" spans="1:4" x14ac:dyDescent="0.3">
      <c r="A148" s="8" t="s">
        <v>48</v>
      </c>
      <c r="B148" s="7">
        <v>1137897</v>
      </c>
      <c r="C148" s="9">
        <v>75330788500</v>
      </c>
      <c r="D148" s="7">
        <v>66166.666666666672</v>
      </c>
    </row>
    <row r="149" spans="1:4" x14ac:dyDescent="0.3">
      <c r="A149" s="6" t="s">
        <v>46</v>
      </c>
      <c r="B149" s="7">
        <v>2148</v>
      </c>
      <c r="C149" s="9">
        <v>216345000</v>
      </c>
      <c r="D149" s="7">
        <v>100000</v>
      </c>
    </row>
    <row r="150" spans="1:4" x14ac:dyDescent="0.3">
      <c r="A150" s="8" t="s">
        <v>33</v>
      </c>
      <c r="B150" s="7">
        <v>2148</v>
      </c>
      <c r="C150" s="9">
        <v>216345000</v>
      </c>
      <c r="D150" s="7">
        <v>100000</v>
      </c>
    </row>
    <row r="151" spans="1:4" x14ac:dyDescent="0.3">
      <c r="A151" s="6" t="s">
        <v>59</v>
      </c>
      <c r="B151" s="7">
        <v>257129</v>
      </c>
      <c r="C151" s="9">
        <v>17840217000</v>
      </c>
      <c r="D151" s="7">
        <v>69333.333333333328</v>
      </c>
    </row>
    <row r="152" spans="1:4" x14ac:dyDescent="0.3">
      <c r="A152" s="8" t="s">
        <v>48</v>
      </c>
      <c r="B152" s="7">
        <v>257129</v>
      </c>
      <c r="C152" s="9">
        <v>17840217000</v>
      </c>
      <c r="D152" s="7">
        <v>69333.333333333328</v>
      </c>
    </row>
    <row r="153" spans="1:4" x14ac:dyDescent="0.3">
      <c r="A153" s="6" t="s">
        <v>45</v>
      </c>
      <c r="B153" s="7">
        <v>2251</v>
      </c>
      <c r="C153" s="9">
        <v>285510000</v>
      </c>
      <c r="D153" s="7">
        <v>126000</v>
      </c>
    </row>
    <row r="154" spans="1:4" x14ac:dyDescent="0.3">
      <c r="A154" s="8" t="s">
        <v>33</v>
      </c>
      <c r="B154" s="7">
        <v>2251</v>
      </c>
      <c r="C154" s="9">
        <v>285510000</v>
      </c>
      <c r="D154" s="7">
        <v>126000</v>
      </c>
    </row>
    <row r="155" spans="1:4" x14ac:dyDescent="0.3">
      <c r="A155" s="6" t="s">
        <v>31</v>
      </c>
      <c r="B155" s="7">
        <v>51997</v>
      </c>
      <c r="C155" s="9">
        <v>311126000</v>
      </c>
      <c r="D155" s="7">
        <v>5933.333333333333</v>
      </c>
    </row>
    <row r="156" spans="1:4" x14ac:dyDescent="0.3">
      <c r="A156" s="8" t="s">
        <v>21</v>
      </c>
      <c r="B156" s="7">
        <v>51997</v>
      </c>
      <c r="C156" s="9">
        <v>311126000</v>
      </c>
      <c r="D156" s="7">
        <v>5933.333333333333</v>
      </c>
    </row>
    <row r="157" spans="1:4" x14ac:dyDescent="0.3">
      <c r="A157" s="6" t="s">
        <v>20</v>
      </c>
      <c r="B157" s="7">
        <v>17182</v>
      </c>
      <c r="C157" s="9">
        <v>79896224</v>
      </c>
      <c r="D157" s="7">
        <v>4598.666666666667</v>
      </c>
    </row>
    <row r="158" spans="1:4" x14ac:dyDescent="0.3">
      <c r="A158" s="8" t="s">
        <v>13</v>
      </c>
      <c r="B158" s="7">
        <v>17182</v>
      </c>
      <c r="C158" s="9">
        <v>79896224</v>
      </c>
      <c r="D158" s="7">
        <v>4598.666666666667</v>
      </c>
    </row>
    <row r="159" spans="1:4" x14ac:dyDescent="0.3">
      <c r="A159" s="6" t="s">
        <v>107</v>
      </c>
      <c r="B159" s="7">
        <v>115785</v>
      </c>
      <c r="C159" s="9">
        <v>324198000</v>
      </c>
      <c r="D159" s="7">
        <v>2800</v>
      </c>
    </row>
    <row r="160" spans="1:4" x14ac:dyDescent="0.3">
      <c r="A160" s="8" t="s">
        <v>91</v>
      </c>
      <c r="B160" s="7">
        <v>115785</v>
      </c>
      <c r="C160" s="9">
        <v>324198000</v>
      </c>
      <c r="D160" s="7">
        <v>2800</v>
      </c>
    </row>
    <row r="161" spans="1:4" x14ac:dyDescent="0.3">
      <c r="A161" s="6" t="s">
        <v>79</v>
      </c>
      <c r="B161" s="7">
        <v>394508</v>
      </c>
      <c r="C161" s="9">
        <v>864486400</v>
      </c>
      <c r="D161" s="7">
        <v>2300</v>
      </c>
    </row>
    <row r="162" spans="1:4" x14ac:dyDescent="0.3">
      <c r="A162" s="8" t="s">
        <v>77</v>
      </c>
      <c r="B162" s="7">
        <v>394508</v>
      </c>
      <c r="C162" s="9">
        <v>864486400</v>
      </c>
      <c r="D162" s="7">
        <v>2300</v>
      </c>
    </row>
    <row r="163" spans="1:4" x14ac:dyDescent="0.3">
      <c r="A163" s="6" t="s">
        <v>39</v>
      </c>
      <c r="B163" s="7">
        <v>57684</v>
      </c>
      <c r="C163" s="9">
        <v>761147000</v>
      </c>
      <c r="D163" s="7">
        <v>13133.333333333334</v>
      </c>
    </row>
    <row r="164" spans="1:4" x14ac:dyDescent="0.3">
      <c r="A164" s="8" t="s">
        <v>33</v>
      </c>
      <c r="B164" s="7">
        <v>57684</v>
      </c>
      <c r="C164" s="9">
        <v>761147000</v>
      </c>
      <c r="D164" s="7">
        <v>13133.333333333334</v>
      </c>
    </row>
    <row r="165" spans="1:4" x14ac:dyDescent="0.3">
      <c r="A165" s="6" t="s">
        <v>106</v>
      </c>
      <c r="B165" s="7">
        <v>180110</v>
      </c>
      <c r="C165" s="9">
        <v>324198000</v>
      </c>
      <c r="D165" s="7">
        <v>1800</v>
      </c>
    </row>
    <row r="166" spans="1:4" x14ac:dyDescent="0.3">
      <c r="A166" s="8" t="s">
        <v>91</v>
      </c>
      <c r="B166" s="7">
        <v>180110</v>
      </c>
      <c r="C166" s="9">
        <v>324198000</v>
      </c>
      <c r="D166" s="7">
        <v>1800</v>
      </c>
    </row>
    <row r="167" spans="1:4" x14ac:dyDescent="0.3">
      <c r="A167" s="6" t="s">
        <v>118</v>
      </c>
      <c r="B167" s="7">
        <v>174</v>
      </c>
      <c r="C167" s="9">
        <v>348000</v>
      </c>
      <c r="D167" s="7">
        <v>2000</v>
      </c>
    </row>
    <row r="168" spans="1:4" x14ac:dyDescent="0.3">
      <c r="A168" s="8" t="s">
        <v>117</v>
      </c>
      <c r="B168" s="7">
        <v>174</v>
      </c>
      <c r="C168" s="9">
        <v>348000</v>
      </c>
      <c r="D168" s="7">
        <v>2000</v>
      </c>
    </row>
    <row r="169" spans="1:4" x14ac:dyDescent="0.3">
      <c r="A169" s="6" t="s">
        <v>122</v>
      </c>
      <c r="B169" s="7">
        <v>5057</v>
      </c>
      <c r="C169" s="9">
        <v>2528500</v>
      </c>
      <c r="D169" s="7">
        <v>500</v>
      </c>
    </row>
    <row r="170" spans="1:4" x14ac:dyDescent="0.3">
      <c r="A170" s="8" t="s">
        <v>117</v>
      </c>
      <c r="B170" s="7">
        <v>5057</v>
      </c>
      <c r="C170" s="9">
        <v>2528500</v>
      </c>
      <c r="D170" s="7">
        <v>500</v>
      </c>
    </row>
    <row r="171" spans="1:4" x14ac:dyDescent="0.3">
      <c r="A171" s="6" t="s">
        <v>120</v>
      </c>
      <c r="B171" s="7">
        <v>457</v>
      </c>
      <c r="C171" s="9">
        <v>914000</v>
      </c>
      <c r="D171" s="7">
        <v>2000</v>
      </c>
    </row>
    <row r="172" spans="1:4" x14ac:dyDescent="0.3">
      <c r="A172" s="8" t="s">
        <v>117</v>
      </c>
      <c r="B172" s="7">
        <v>457</v>
      </c>
      <c r="C172" s="9">
        <v>914000</v>
      </c>
      <c r="D172" s="7">
        <v>2000</v>
      </c>
    </row>
    <row r="173" spans="1:4" x14ac:dyDescent="0.3">
      <c r="A173" s="6" t="s">
        <v>124</v>
      </c>
      <c r="B173" s="7">
        <v>2989</v>
      </c>
      <c r="C173" s="9">
        <v>1494500</v>
      </c>
      <c r="D173" s="7">
        <v>500</v>
      </c>
    </row>
    <row r="174" spans="1:4" x14ac:dyDescent="0.3">
      <c r="A174" s="8" t="s">
        <v>117</v>
      </c>
      <c r="B174" s="7">
        <v>2989</v>
      </c>
      <c r="C174" s="9">
        <v>1494500</v>
      </c>
      <c r="D174" s="7">
        <v>500</v>
      </c>
    </row>
    <row r="175" spans="1:4" x14ac:dyDescent="0.3">
      <c r="A175" s="6" t="s">
        <v>16</v>
      </c>
      <c r="B175" s="7">
        <v>67481</v>
      </c>
      <c r="C175" s="9">
        <v>805093569</v>
      </c>
      <c r="D175" s="7">
        <v>11829.666666666666</v>
      </c>
    </row>
    <row r="176" spans="1:4" x14ac:dyDescent="0.3">
      <c r="A176" s="8" t="s">
        <v>13</v>
      </c>
      <c r="B176" s="7">
        <v>67481</v>
      </c>
      <c r="C176" s="9">
        <v>805093569</v>
      </c>
      <c r="D176" s="7">
        <v>11829.666666666666</v>
      </c>
    </row>
    <row r="177" spans="1:4" x14ac:dyDescent="0.3">
      <c r="A177" s="6" t="s">
        <v>42</v>
      </c>
      <c r="B177" s="7">
        <v>67519</v>
      </c>
      <c r="C177" s="9">
        <v>605033900</v>
      </c>
      <c r="D177" s="7">
        <v>8916.6666666666661</v>
      </c>
    </row>
    <row r="178" spans="1:4" x14ac:dyDescent="0.3">
      <c r="A178" s="8" t="s">
        <v>33</v>
      </c>
      <c r="B178" s="7">
        <v>67519</v>
      </c>
      <c r="C178" s="9">
        <v>605033900</v>
      </c>
      <c r="D178" s="7">
        <v>8916.6666666666661</v>
      </c>
    </row>
    <row r="179" spans="1:4" x14ac:dyDescent="0.3">
      <c r="A179" s="6" t="s">
        <v>125</v>
      </c>
      <c r="B179" s="7">
        <v>271</v>
      </c>
      <c r="C179" s="9">
        <v>1897000</v>
      </c>
      <c r="D179" s="7">
        <v>7000</v>
      </c>
    </row>
    <row r="180" spans="1:4" x14ac:dyDescent="0.3">
      <c r="A180" s="8" t="s">
        <v>117</v>
      </c>
      <c r="B180" s="7">
        <v>271</v>
      </c>
      <c r="C180" s="9">
        <v>1897000</v>
      </c>
      <c r="D180" s="7">
        <v>7000</v>
      </c>
    </row>
    <row r="181" spans="1:4" x14ac:dyDescent="0.3">
      <c r="A181" s="6" t="s">
        <v>121</v>
      </c>
      <c r="B181" s="7">
        <v>44</v>
      </c>
      <c r="C181" s="9">
        <v>1100000</v>
      </c>
      <c r="D181" s="7">
        <v>25000</v>
      </c>
    </row>
    <row r="182" spans="1:4" x14ac:dyDescent="0.3">
      <c r="A182" s="8" t="s">
        <v>117</v>
      </c>
      <c r="B182" s="7">
        <v>44</v>
      </c>
      <c r="C182" s="9">
        <v>1100000</v>
      </c>
      <c r="D182" s="7">
        <v>25000</v>
      </c>
    </row>
    <row r="183" spans="1:4" x14ac:dyDescent="0.3">
      <c r="A183" s="6" t="s">
        <v>123</v>
      </c>
      <c r="B183" s="7">
        <v>88</v>
      </c>
      <c r="C183" s="9">
        <v>616000</v>
      </c>
      <c r="D183" s="7">
        <v>7000</v>
      </c>
    </row>
    <row r="184" spans="1:4" x14ac:dyDescent="0.3">
      <c r="A184" s="8" t="s">
        <v>117</v>
      </c>
      <c r="B184" s="7">
        <v>88</v>
      </c>
      <c r="C184" s="9">
        <v>616000</v>
      </c>
      <c r="D184" s="7">
        <v>7000</v>
      </c>
    </row>
    <row r="185" spans="1:4" x14ac:dyDescent="0.3">
      <c r="A185" s="6" t="s">
        <v>119</v>
      </c>
      <c r="B185" s="7">
        <v>31</v>
      </c>
      <c r="C185" s="9">
        <v>558000</v>
      </c>
      <c r="D185" s="7">
        <v>18000</v>
      </c>
    </row>
    <row r="186" spans="1:4" x14ac:dyDescent="0.3">
      <c r="A186" s="8" t="s">
        <v>117</v>
      </c>
      <c r="B186" s="7">
        <v>31</v>
      </c>
      <c r="C186" s="9">
        <v>558000</v>
      </c>
      <c r="D186" s="7">
        <v>18000</v>
      </c>
    </row>
    <row r="187" spans="1:4" x14ac:dyDescent="0.3">
      <c r="A187" s="6" t="s">
        <v>100</v>
      </c>
      <c r="B187" s="7">
        <v>140954</v>
      </c>
      <c r="C187" s="9">
        <v>324194200</v>
      </c>
      <c r="D187" s="7">
        <v>2300</v>
      </c>
    </row>
    <row r="188" spans="1:4" x14ac:dyDescent="0.3">
      <c r="A188" s="8" t="s">
        <v>91</v>
      </c>
      <c r="B188" s="7">
        <v>140954</v>
      </c>
      <c r="C188" s="9">
        <v>324194200</v>
      </c>
      <c r="D188" s="7">
        <v>2300</v>
      </c>
    </row>
    <row r="189" spans="1:4" x14ac:dyDescent="0.3">
      <c r="A189" s="6" t="s">
        <v>27</v>
      </c>
      <c r="B189" s="7">
        <v>52942</v>
      </c>
      <c r="C189" s="9">
        <v>719177400</v>
      </c>
      <c r="D189" s="7">
        <v>13500</v>
      </c>
    </row>
    <row r="190" spans="1:4" x14ac:dyDescent="0.3">
      <c r="A190" s="8" t="s">
        <v>21</v>
      </c>
      <c r="B190" s="7">
        <v>52942</v>
      </c>
      <c r="C190" s="9">
        <v>719177400</v>
      </c>
      <c r="D190" s="7">
        <v>13500</v>
      </c>
    </row>
    <row r="191" spans="1:4" x14ac:dyDescent="0.3">
      <c r="A191" s="6" t="s">
        <v>32</v>
      </c>
      <c r="B191" s="7">
        <v>71671</v>
      </c>
      <c r="C191" s="9">
        <v>267420100</v>
      </c>
      <c r="D191" s="7">
        <v>3700</v>
      </c>
    </row>
    <row r="192" spans="1:4" x14ac:dyDescent="0.3">
      <c r="A192" s="8" t="s">
        <v>21</v>
      </c>
      <c r="B192" s="7">
        <v>71671</v>
      </c>
      <c r="C192" s="9">
        <v>267420100</v>
      </c>
      <c r="D192" s="7">
        <v>3700</v>
      </c>
    </row>
    <row r="193" spans="1:4" x14ac:dyDescent="0.3">
      <c r="A193" s="6" t="s">
        <v>93</v>
      </c>
      <c r="B193" s="7">
        <v>294727</v>
      </c>
      <c r="C193" s="9">
        <v>324199700</v>
      </c>
      <c r="D193" s="7">
        <v>1100</v>
      </c>
    </row>
    <row r="194" spans="1:4" x14ac:dyDescent="0.3">
      <c r="A194" s="8" t="s">
        <v>91</v>
      </c>
      <c r="B194" s="7">
        <v>294727</v>
      </c>
      <c r="C194" s="9">
        <v>324199700</v>
      </c>
      <c r="D194" s="7">
        <v>1100</v>
      </c>
    </row>
    <row r="195" spans="1:4" x14ac:dyDescent="0.3">
      <c r="A195" s="6" t="s">
        <v>41</v>
      </c>
      <c r="B195" s="7">
        <v>3569</v>
      </c>
      <c r="C195" s="9">
        <v>678105000</v>
      </c>
      <c r="D195" s="7">
        <v>189000</v>
      </c>
    </row>
    <row r="196" spans="1:4" x14ac:dyDescent="0.3">
      <c r="A196" s="8" t="s">
        <v>33</v>
      </c>
      <c r="B196" s="7">
        <v>3569</v>
      </c>
      <c r="C196" s="9">
        <v>678105000</v>
      </c>
      <c r="D196" s="7">
        <v>189000</v>
      </c>
    </row>
    <row r="197" spans="1:4" x14ac:dyDescent="0.3">
      <c r="A197" s="6" t="s">
        <v>99</v>
      </c>
      <c r="B197" s="7">
        <v>147363</v>
      </c>
      <c r="C197" s="9">
        <v>324198600</v>
      </c>
      <c r="D197" s="7">
        <v>2200</v>
      </c>
    </row>
    <row r="198" spans="1:4" x14ac:dyDescent="0.3">
      <c r="A198" s="8" t="s">
        <v>91</v>
      </c>
      <c r="B198" s="7">
        <v>147363</v>
      </c>
      <c r="C198" s="9">
        <v>324198600</v>
      </c>
      <c r="D198" s="7">
        <v>2200</v>
      </c>
    </row>
    <row r="199" spans="1:4" x14ac:dyDescent="0.3">
      <c r="A199" s="6" t="s">
        <v>43</v>
      </c>
      <c r="B199" s="7">
        <v>43814</v>
      </c>
      <c r="C199" s="9">
        <v>590817400</v>
      </c>
      <c r="D199" s="7">
        <v>13433.333333333334</v>
      </c>
    </row>
    <row r="200" spans="1:4" x14ac:dyDescent="0.3">
      <c r="A200" s="8" t="s">
        <v>33</v>
      </c>
      <c r="B200" s="7">
        <v>43814</v>
      </c>
      <c r="C200" s="9">
        <v>590817400</v>
      </c>
      <c r="D200" s="7">
        <v>13433.333333333334</v>
      </c>
    </row>
    <row r="201" spans="1:4" x14ac:dyDescent="0.3">
      <c r="A201" s="6" t="s">
        <v>26</v>
      </c>
      <c r="B201" s="7">
        <v>59300</v>
      </c>
      <c r="C201" s="9">
        <v>849992200</v>
      </c>
      <c r="D201" s="7">
        <v>14233.333333333334</v>
      </c>
    </row>
    <row r="202" spans="1:4" x14ac:dyDescent="0.3">
      <c r="A202" s="8" t="s">
        <v>21</v>
      </c>
      <c r="B202" s="7">
        <v>59300</v>
      </c>
      <c r="C202" s="9">
        <v>849992200</v>
      </c>
      <c r="D202" s="7">
        <v>14233.333333333334</v>
      </c>
    </row>
    <row r="203" spans="1:4" x14ac:dyDescent="0.3">
      <c r="A203" s="6" t="s">
        <v>57</v>
      </c>
      <c r="B203" s="7">
        <v>199182</v>
      </c>
      <c r="C203" s="9">
        <v>22396079000</v>
      </c>
      <c r="D203" s="7">
        <v>112333.33333333333</v>
      </c>
    </row>
    <row r="204" spans="1:4" x14ac:dyDescent="0.3">
      <c r="A204" s="8" t="s">
        <v>48</v>
      </c>
      <c r="B204" s="7">
        <v>199182</v>
      </c>
      <c r="C204" s="9">
        <v>22396079000</v>
      </c>
      <c r="D204" s="7">
        <v>112333.33333333333</v>
      </c>
    </row>
    <row r="205" spans="1:4" x14ac:dyDescent="0.3">
      <c r="A205" s="6" t="s">
        <v>110</v>
      </c>
      <c r="B205" s="7">
        <v>147</v>
      </c>
      <c r="C205" s="9">
        <v>8449560</v>
      </c>
      <c r="D205" s="7">
        <v>57480</v>
      </c>
    </row>
    <row r="206" spans="1:4" x14ac:dyDescent="0.3">
      <c r="A206" s="8" t="s">
        <v>109</v>
      </c>
      <c r="B206" s="7">
        <v>147</v>
      </c>
      <c r="C206" s="9">
        <v>8449560</v>
      </c>
      <c r="D206" s="7">
        <v>57480</v>
      </c>
    </row>
    <row r="207" spans="1:4" x14ac:dyDescent="0.3">
      <c r="A207" s="6" t="s">
        <v>111</v>
      </c>
      <c r="B207" s="7">
        <v>308</v>
      </c>
      <c r="C207" s="9">
        <v>16929320</v>
      </c>
      <c r="D207" s="7">
        <v>55190</v>
      </c>
    </row>
    <row r="208" spans="1:4" x14ac:dyDescent="0.3">
      <c r="A208" s="8" t="s">
        <v>109</v>
      </c>
      <c r="B208" s="7">
        <v>308</v>
      </c>
      <c r="C208" s="9">
        <v>16929320</v>
      </c>
      <c r="D208" s="7">
        <v>55190</v>
      </c>
    </row>
    <row r="209" spans="1:4" x14ac:dyDescent="0.3">
      <c r="A209" s="6" t="s">
        <v>112</v>
      </c>
      <c r="B209" s="7">
        <v>350</v>
      </c>
      <c r="C209" s="9">
        <v>17018240</v>
      </c>
      <c r="D209" s="7">
        <v>48825</v>
      </c>
    </row>
    <row r="210" spans="1:4" x14ac:dyDescent="0.3">
      <c r="A210" s="8" t="s">
        <v>109</v>
      </c>
      <c r="B210" s="7">
        <v>350</v>
      </c>
      <c r="C210" s="9">
        <v>17018240</v>
      </c>
      <c r="D210" s="7">
        <v>48825</v>
      </c>
    </row>
    <row r="211" spans="1:4" x14ac:dyDescent="0.3">
      <c r="A211" s="6" t="s">
        <v>113</v>
      </c>
      <c r="B211" s="7">
        <v>411</v>
      </c>
      <c r="C211" s="9">
        <v>17004580</v>
      </c>
      <c r="D211" s="7">
        <v>41530</v>
      </c>
    </row>
    <row r="212" spans="1:4" x14ac:dyDescent="0.3">
      <c r="A212" s="8" t="s">
        <v>109</v>
      </c>
      <c r="B212" s="7">
        <v>411</v>
      </c>
      <c r="C212" s="9">
        <v>17004580</v>
      </c>
      <c r="D212" s="7">
        <v>41530</v>
      </c>
    </row>
    <row r="213" spans="1:4" x14ac:dyDescent="0.3">
      <c r="A213" s="6" t="s">
        <v>114</v>
      </c>
      <c r="B213" s="7">
        <v>423</v>
      </c>
      <c r="C213" s="9">
        <v>16957480</v>
      </c>
      <c r="D213" s="7">
        <v>40360</v>
      </c>
    </row>
    <row r="214" spans="1:4" x14ac:dyDescent="0.3">
      <c r="A214" s="8" t="s">
        <v>109</v>
      </c>
      <c r="B214" s="7">
        <v>423</v>
      </c>
      <c r="C214" s="9">
        <v>16957480</v>
      </c>
      <c r="D214" s="7">
        <v>40360</v>
      </c>
    </row>
    <row r="215" spans="1:4" x14ac:dyDescent="0.3">
      <c r="A215" s="6" t="s">
        <v>115</v>
      </c>
      <c r="B215" s="7">
        <v>439</v>
      </c>
      <c r="C215" s="9">
        <v>16992310</v>
      </c>
      <c r="D215" s="7">
        <v>38860</v>
      </c>
    </row>
    <row r="216" spans="1:4" x14ac:dyDescent="0.3">
      <c r="A216" s="8" t="s">
        <v>109</v>
      </c>
      <c r="B216" s="7">
        <v>439</v>
      </c>
      <c r="C216" s="9">
        <v>16992310</v>
      </c>
      <c r="D216" s="7">
        <v>38860</v>
      </c>
    </row>
    <row r="217" spans="1:4" x14ac:dyDescent="0.3">
      <c r="A217" s="6" t="s">
        <v>116</v>
      </c>
      <c r="B217" s="7">
        <v>958</v>
      </c>
      <c r="C217" s="9">
        <v>34894910</v>
      </c>
      <c r="D217" s="7">
        <v>35375</v>
      </c>
    </row>
    <row r="218" spans="1:4" x14ac:dyDescent="0.3">
      <c r="A218" s="8" t="s">
        <v>109</v>
      </c>
      <c r="B218" s="7">
        <v>958</v>
      </c>
      <c r="C218" s="9">
        <v>34894910</v>
      </c>
      <c r="D218" s="7">
        <v>35375</v>
      </c>
    </row>
    <row r="219" spans="1:4" x14ac:dyDescent="0.3">
      <c r="A219" s="6" t="s">
        <v>47</v>
      </c>
      <c r="B219" s="7">
        <v>331</v>
      </c>
      <c r="C219" s="9">
        <v>157798000</v>
      </c>
      <c r="D219" s="7">
        <v>472333.33333333331</v>
      </c>
    </row>
    <row r="220" spans="1:4" x14ac:dyDescent="0.3">
      <c r="A220" s="8" t="s">
        <v>33</v>
      </c>
      <c r="B220" s="7">
        <v>331</v>
      </c>
      <c r="C220" s="9">
        <v>157798000</v>
      </c>
      <c r="D220" s="7">
        <v>472333.33333333331</v>
      </c>
    </row>
    <row r="221" spans="1:4" x14ac:dyDescent="0.3">
      <c r="A221" s="6" t="s">
        <v>50</v>
      </c>
      <c r="B221" s="7">
        <v>1349909</v>
      </c>
      <c r="C221" s="9">
        <v>107156428000</v>
      </c>
      <c r="D221" s="7">
        <v>79333.333333333328</v>
      </c>
    </row>
    <row r="222" spans="1:4" x14ac:dyDescent="0.3">
      <c r="A222" s="8" t="s">
        <v>48</v>
      </c>
      <c r="B222" s="7">
        <v>1349909</v>
      </c>
      <c r="C222" s="9">
        <v>107156428000</v>
      </c>
      <c r="D222" s="7">
        <v>79333.333333333328</v>
      </c>
    </row>
    <row r="223" spans="1:4" x14ac:dyDescent="0.3">
      <c r="A223" s="6" t="s">
        <v>49</v>
      </c>
      <c r="B223" s="7">
        <v>1948461</v>
      </c>
      <c r="C223" s="9">
        <v>167620284000</v>
      </c>
      <c r="D223" s="7">
        <v>86000</v>
      </c>
    </row>
    <row r="224" spans="1:4" x14ac:dyDescent="0.3">
      <c r="A224" s="8" t="s">
        <v>48</v>
      </c>
      <c r="B224" s="7">
        <v>1948461</v>
      </c>
      <c r="C224" s="9">
        <v>167620284000</v>
      </c>
      <c r="D224" s="7">
        <v>86000</v>
      </c>
    </row>
    <row r="225" spans="1:4" x14ac:dyDescent="0.3">
      <c r="A225" s="6" t="s">
        <v>56</v>
      </c>
      <c r="B225" s="7">
        <v>391868</v>
      </c>
      <c r="C225" s="9">
        <v>24053386000</v>
      </c>
      <c r="D225" s="7">
        <v>61333.333333333336</v>
      </c>
    </row>
    <row r="226" spans="1:4" x14ac:dyDescent="0.3">
      <c r="A226" s="8" t="s">
        <v>48</v>
      </c>
      <c r="B226" s="7">
        <v>391868</v>
      </c>
      <c r="C226" s="9">
        <v>24053386000</v>
      </c>
      <c r="D226" s="7">
        <v>61333.333333333336</v>
      </c>
    </row>
    <row r="227" spans="1:4" x14ac:dyDescent="0.3">
      <c r="A227" s="6" t="s">
        <v>60</v>
      </c>
      <c r="B227" s="7">
        <v>329309</v>
      </c>
      <c r="C227" s="9">
        <v>15269529000</v>
      </c>
      <c r="D227" s="7">
        <v>46333.333333333336</v>
      </c>
    </row>
    <row r="228" spans="1:4" x14ac:dyDescent="0.3">
      <c r="A228" s="8" t="s">
        <v>48</v>
      </c>
      <c r="B228" s="7">
        <v>329309</v>
      </c>
      <c r="C228" s="9">
        <v>15269529000</v>
      </c>
      <c r="D228" s="7">
        <v>46333.333333333336</v>
      </c>
    </row>
    <row r="229" spans="1:4" x14ac:dyDescent="0.3">
      <c r="A229" s="6" t="s">
        <v>130</v>
      </c>
      <c r="B229" s="7"/>
      <c r="D229" s="7"/>
    </row>
    <row r="230" spans="1:4" x14ac:dyDescent="0.3">
      <c r="A230" s="8" t="s">
        <v>130</v>
      </c>
      <c r="B230" s="7"/>
      <c r="D230" s="7"/>
    </row>
    <row r="231" spans="1:4" x14ac:dyDescent="0.3">
      <c r="A231" s="6" t="s">
        <v>131</v>
      </c>
      <c r="B231" s="7">
        <v>15718857</v>
      </c>
      <c r="C231" s="9">
        <v>627331204049</v>
      </c>
      <c r="D231" s="7">
        <v>51409.472868217053</v>
      </c>
    </row>
  </sheetData>
  <sortState columnSort="1" ref="A1:D231">
    <sortCondition descending="1" ref="C1"/>
  </sortState>
  <conditionalFormatting sqref="D232:D1048576 D1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{7FB3C090-7462-462E-919E-7C831AB15AE0}</x14:id>
        </ext>
      </extLst>
    </cfRule>
  </conditionalFormatting>
  <conditionalFormatting sqref="C232:C1048576 C1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{5C61C393-FACF-49AF-9696-A897CAFC1285}</x14:id>
        </ext>
      </extLst>
    </cfRule>
  </conditionalFormatting>
  <conditionalFormatting sqref="B232:B1048576 B1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FB3C090-7462-462E-919E-7C831AB15AE0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D232:D1048576 D1</xm:sqref>
        </x14:conditionalFormatting>
        <x14:conditionalFormatting xmlns:xm="http://schemas.microsoft.com/office/excel/2006/main">
          <x14:cfRule type="dataBar" id="{5C61C393-FACF-49AF-9696-A897CAFC12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C232:C1048576 C1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1"/>
  <sheetViews>
    <sheetView tabSelected="1" zoomScale="80" zoomScaleNormal="80" workbookViewId="0">
      <selection activeCell="O17" sqref="O17"/>
    </sheetView>
  </sheetViews>
  <sheetFormatPr defaultRowHeight="14.4" x14ac:dyDescent="0.3"/>
  <cols>
    <col min="1" max="1" width="15.5546875" style="1" customWidth="1"/>
    <col min="2" max="2" width="13.6640625" style="1" customWidth="1"/>
    <col min="3" max="3" width="27.109375" style="1" customWidth="1"/>
    <col min="4" max="4" width="13.6640625" style="1" customWidth="1"/>
    <col min="5" max="5" width="19" style="1" customWidth="1"/>
    <col min="6" max="6" width="23.44140625" style="1" customWidth="1"/>
    <col min="7" max="7" width="28" style="1" customWidth="1"/>
    <col min="8" max="8" width="28.77734375" style="1" customWidth="1"/>
    <col min="9" max="9" width="13.6640625" style="1" customWidth="1"/>
    <col min="10" max="16384" width="8.88671875" style="1"/>
  </cols>
  <sheetData>
    <row r="1" spans="1:8" ht="15.6" x14ac:dyDescent="0.3">
      <c r="A1" s="3" t="s">
        <v>126</v>
      </c>
      <c r="B1" s="3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127</v>
      </c>
      <c r="H1" s="4" t="s">
        <v>128</v>
      </c>
    </row>
    <row r="2" spans="1:8" x14ac:dyDescent="0.3">
      <c r="A2" s="1" t="s">
        <v>12</v>
      </c>
      <c r="B2" s="11">
        <v>2022</v>
      </c>
      <c r="C2" s="1" t="s">
        <v>5</v>
      </c>
      <c r="D2" s="2">
        <v>4500</v>
      </c>
      <c r="E2" s="2">
        <v>154047</v>
      </c>
      <c r="F2" s="2">
        <f>E2*D2</f>
        <v>693211500</v>
      </c>
      <c r="G2" s="2">
        <v>2750148000</v>
      </c>
      <c r="H2" s="2">
        <v>202576000</v>
      </c>
    </row>
    <row r="3" spans="1:8" x14ac:dyDescent="0.3">
      <c r="A3" s="1" t="s">
        <v>12</v>
      </c>
      <c r="B3" s="11">
        <v>2022</v>
      </c>
      <c r="C3" s="1" t="s">
        <v>6</v>
      </c>
      <c r="D3" s="2">
        <v>5000</v>
      </c>
      <c r="E3" s="2">
        <v>109324</v>
      </c>
      <c r="F3" s="2">
        <f t="shared" ref="F3:F8" si="0">E3*D3</f>
        <v>546620000</v>
      </c>
      <c r="G3" s="2">
        <v>2750148000</v>
      </c>
      <c r="H3" s="2">
        <v>202576000</v>
      </c>
    </row>
    <row r="4" spans="1:8" x14ac:dyDescent="0.3">
      <c r="A4" s="1" t="s">
        <v>12</v>
      </c>
      <c r="B4" s="11">
        <v>2022</v>
      </c>
      <c r="C4" s="1" t="s">
        <v>7</v>
      </c>
      <c r="D4" s="2">
        <v>8000</v>
      </c>
      <c r="E4" s="2">
        <v>84538</v>
      </c>
      <c r="F4" s="2">
        <f t="shared" si="0"/>
        <v>676304000</v>
      </c>
      <c r="G4" s="2">
        <v>2750148000</v>
      </c>
      <c r="H4" s="2">
        <v>202576000</v>
      </c>
    </row>
    <row r="5" spans="1:8" x14ac:dyDescent="0.3">
      <c r="A5" s="1" t="s">
        <v>12</v>
      </c>
      <c r="B5" s="11">
        <v>2022</v>
      </c>
      <c r="C5" s="1" t="s">
        <v>8</v>
      </c>
      <c r="D5" s="2">
        <v>8200</v>
      </c>
      <c r="E5" s="2">
        <v>49693</v>
      </c>
      <c r="F5" s="2">
        <f t="shared" si="0"/>
        <v>407482600</v>
      </c>
      <c r="G5" s="2">
        <v>2750148000</v>
      </c>
      <c r="H5" s="2">
        <v>202576000</v>
      </c>
    </row>
    <row r="6" spans="1:8" x14ac:dyDescent="0.3">
      <c r="A6" s="1" t="s">
        <v>12</v>
      </c>
      <c r="B6" s="11">
        <v>2022</v>
      </c>
      <c r="C6" s="1" t="s">
        <v>9</v>
      </c>
      <c r="D6" s="2">
        <v>9500</v>
      </c>
      <c r="E6" s="2">
        <v>27828</v>
      </c>
      <c r="F6" s="2">
        <f t="shared" si="0"/>
        <v>264366000</v>
      </c>
      <c r="G6" s="2">
        <v>2750148000</v>
      </c>
      <c r="H6" s="2">
        <v>202576000</v>
      </c>
    </row>
    <row r="7" spans="1:8" x14ac:dyDescent="0.3">
      <c r="A7" s="1" t="s">
        <v>12</v>
      </c>
      <c r="B7" s="11">
        <v>2022</v>
      </c>
      <c r="C7" s="1" t="s">
        <v>10</v>
      </c>
      <c r="D7" s="2">
        <v>10000</v>
      </c>
      <c r="E7" s="2">
        <v>14558</v>
      </c>
      <c r="F7" s="2">
        <f t="shared" si="0"/>
        <v>145580000</v>
      </c>
      <c r="G7" s="2">
        <v>2750148000</v>
      </c>
      <c r="H7" s="2">
        <v>202576000</v>
      </c>
    </row>
    <row r="8" spans="1:8" x14ac:dyDescent="0.3">
      <c r="A8" s="1" t="s">
        <v>12</v>
      </c>
      <c r="B8" s="11">
        <v>2022</v>
      </c>
      <c r="C8" s="1" t="s">
        <v>11</v>
      </c>
      <c r="D8" s="2">
        <v>12500</v>
      </c>
      <c r="E8" s="2">
        <v>1326</v>
      </c>
      <c r="F8" s="2">
        <f t="shared" si="0"/>
        <v>16575000</v>
      </c>
      <c r="G8" s="2">
        <v>2750148000</v>
      </c>
      <c r="H8" s="2">
        <v>202576000</v>
      </c>
    </row>
    <row r="9" spans="1:8" x14ac:dyDescent="0.3">
      <c r="A9" s="1" t="s">
        <v>12</v>
      </c>
      <c r="B9" s="11">
        <v>2023</v>
      </c>
      <c r="C9" s="1" t="s">
        <v>5</v>
      </c>
      <c r="D9" s="2">
        <v>4700</v>
      </c>
      <c r="E9" s="2">
        <v>83772</v>
      </c>
      <c r="F9" s="2">
        <f>E9*D9</f>
        <v>393728400</v>
      </c>
      <c r="G9" s="2">
        <v>1466712000</v>
      </c>
      <c r="H9" s="2">
        <v>681559000</v>
      </c>
    </row>
    <row r="10" spans="1:8" x14ac:dyDescent="0.3">
      <c r="A10" s="1" t="s">
        <v>12</v>
      </c>
      <c r="B10" s="11">
        <v>2023</v>
      </c>
      <c r="C10" s="1" t="s">
        <v>6</v>
      </c>
      <c r="D10" s="2">
        <v>5200</v>
      </c>
      <c r="E10" s="2">
        <v>60502</v>
      </c>
      <c r="F10" s="2">
        <f t="shared" ref="F10:F18" si="1">E10*D10</f>
        <v>314610400</v>
      </c>
      <c r="G10" s="2">
        <v>1466712000</v>
      </c>
      <c r="H10" s="2">
        <v>681559000</v>
      </c>
    </row>
    <row r="11" spans="1:8" x14ac:dyDescent="0.3">
      <c r="A11" s="1" t="s">
        <v>12</v>
      </c>
      <c r="B11" s="11">
        <v>2023</v>
      </c>
      <c r="C11" s="1" t="s">
        <v>7</v>
      </c>
      <c r="D11" s="2">
        <v>8300</v>
      </c>
      <c r="E11" s="2">
        <v>46540</v>
      </c>
      <c r="F11" s="2">
        <f t="shared" si="1"/>
        <v>386282000</v>
      </c>
      <c r="G11" s="2">
        <v>1466712000</v>
      </c>
      <c r="H11" s="2">
        <v>681559000</v>
      </c>
    </row>
    <row r="12" spans="1:8" x14ac:dyDescent="0.3">
      <c r="A12" s="1" t="s">
        <v>12</v>
      </c>
      <c r="B12" s="11">
        <v>2023</v>
      </c>
      <c r="C12" s="1" t="s">
        <v>8</v>
      </c>
      <c r="D12" s="2">
        <v>8500</v>
      </c>
      <c r="E12" s="2">
        <v>23270</v>
      </c>
      <c r="F12" s="2">
        <f t="shared" si="1"/>
        <v>197795000</v>
      </c>
      <c r="G12" s="2">
        <v>1466712000</v>
      </c>
      <c r="H12" s="2">
        <v>681559000</v>
      </c>
    </row>
    <row r="13" spans="1:8" x14ac:dyDescent="0.3">
      <c r="A13" s="1" t="s">
        <v>12</v>
      </c>
      <c r="B13" s="11">
        <v>2023</v>
      </c>
      <c r="C13" s="1" t="s">
        <v>9</v>
      </c>
      <c r="D13" s="2">
        <v>9800</v>
      </c>
      <c r="E13" s="2">
        <v>11170</v>
      </c>
      <c r="F13" s="2">
        <f t="shared" si="1"/>
        <v>109466000</v>
      </c>
      <c r="G13" s="2">
        <v>1466712000</v>
      </c>
      <c r="H13" s="2">
        <v>681559000</v>
      </c>
    </row>
    <row r="14" spans="1:8" x14ac:dyDescent="0.3">
      <c r="A14" s="1" t="s">
        <v>12</v>
      </c>
      <c r="B14" s="11">
        <v>2023</v>
      </c>
      <c r="C14" s="1" t="s">
        <v>10</v>
      </c>
      <c r="D14" s="2">
        <v>10200</v>
      </c>
      <c r="E14" s="2">
        <v>5167</v>
      </c>
      <c r="F14" s="2">
        <f t="shared" si="1"/>
        <v>52703400</v>
      </c>
      <c r="G14" s="2">
        <v>1466712000</v>
      </c>
      <c r="H14" s="2">
        <v>681559000</v>
      </c>
    </row>
    <row r="15" spans="1:8" x14ac:dyDescent="0.3">
      <c r="A15" s="1" t="s">
        <v>12</v>
      </c>
      <c r="B15" s="11">
        <v>2023</v>
      </c>
      <c r="C15" s="1" t="s">
        <v>11</v>
      </c>
      <c r="D15" s="2">
        <v>13000</v>
      </c>
      <c r="E15" s="2">
        <v>931</v>
      </c>
      <c r="F15" s="2">
        <f t="shared" si="1"/>
        <v>12103000</v>
      </c>
      <c r="G15" s="2">
        <v>1466712000</v>
      </c>
      <c r="H15" s="2">
        <v>681559000</v>
      </c>
    </row>
    <row r="16" spans="1:8" x14ac:dyDescent="0.3">
      <c r="A16" s="1" t="s">
        <v>12</v>
      </c>
      <c r="B16" s="11">
        <v>2024</v>
      </c>
      <c r="C16" s="1" t="s">
        <v>5</v>
      </c>
      <c r="D16" s="2">
        <v>4800</v>
      </c>
      <c r="E16" s="2">
        <v>72437</v>
      </c>
      <c r="F16" s="2">
        <f>E16*D16</f>
        <v>347697600</v>
      </c>
      <c r="G16" s="2">
        <v>1156276000</v>
      </c>
      <c r="H16" s="2">
        <v>717073000</v>
      </c>
    </row>
    <row r="17" spans="1:8" x14ac:dyDescent="0.3">
      <c r="A17" s="1" t="s">
        <v>12</v>
      </c>
      <c r="B17" s="11">
        <v>2024</v>
      </c>
      <c r="C17" s="1" t="s">
        <v>6</v>
      </c>
      <c r="D17" s="2">
        <v>5300</v>
      </c>
      <c r="E17" s="2">
        <v>53121</v>
      </c>
      <c r="F17" s="2">
        <f t="shared" ref="F17:F22" si="2">E17*D17</f>
        <v>281541300</v>
      </c>
      <c r="G17" s="2">
        <v>1156276000</v>
      </c>
      <c r="H17" s="2">
        <v>717073000</v>
      </c>
    </row>
    <row r="18" spans="1:8" x14ac:dyDescent="0.3">
      <c r="A18" s="1" t="s">
        <v>12</v>
      </c>
      <c r="B18" s="11">
        <v>2024</v>
      </c>
      <c r="C18" s="1" t="s">
        <v>7</v>
      </c>
      <c r="D18" s="2">
        <v>8500</v>
      </c>
      <c r="E18" s="2">
        <v>33804</v>
      </c>
      <c r="F18" s="2">
        <f t="shared" si="2"/>
        <v>287334000</v>
      </c>
      <c r="G18" s="2">
        <v>1156276000</v>
      </c>
      <c r="H18" s="2">
        <v>717073000</v>
      </c>
    </row>
    <row r="19" spans="1:8" x14ac:dyDescent="0.3">
      <c r="A19" s="1" t="s">
        <v>12</v>
      </c>
      <c r="B19" s="11">
        <v>2024</v>
      </c>
      <c r="C19" s="1" t="s">
        <v>8</v>
      </c>
      <c r="D19" s="2">
        <v>8700</v>
      </c>
      <c r="E19" s="2">
        <v>14487</v>
      </c>
      <c r="F19" s="2">
        <f t="shared" si="2"/>
        <v>126036900</v>
      </c>
      <c r="G19" s="2">
        <v>1156276000</v>
      </c>
      <c r="H19" s="2">
        <v>717073000</v>
      </c>
    </row>
    <row r="20" spans="1:8" x14ac:dyDescent="0.3">
      <c r="A20" s="1" t="s">
        <v>12</v>
      </c>
      <c r="B20" s="11">
        <v>2024</v>
      </c>
      <c r="C20" s="1" t="s">
        <v>9</v>
      </c>
      <c r="D20" s="2">
        <v>10000</v>
      </c>
      <c r="E20" s="2">
        <v>5795</v>
      </c>
      <c r="F20" s="2">
        <f t="shared" si="2"/>
        <v>57950000</v>
      </c>
      <c r="G20" s="2">
        <v>1156276000</v>
      </c>
      <c r="H20" s="2">
        <v>717073000</v>
      </c>
    </row>
    <row r="21" spans="1:8" x14ac:dyDescent="0.3">
      <c r="A21" s="1" t="s">
        <v>12</v>
      </c>
      <c r="B21" s="11">
        <v>2024</v>
      </c>
      <c r="C21" s="1" t="s">
        <v>10</v>
      </c>
      <c r="D21" s="2">
        <v>10500</v>
      </c>
      <c r="E21" s="2">
        <v>4394</v>
      </c>
      <c r="F21" s="2">
        <f t="shared" si="2"/>
        <v>46137000</v>
      </c>
      <c r="G21" s="2">
        <v>1156276000</v>
      </c>
      <c r="H21" s="2">
        <v>717073000</v>
      </c>
    </row>
    <row r="22" spans="1:8" x14ac:dyDescent="0.3">
      <c r="A22" s="1" t="s">
        <v>12</v>
      </c>
      <c r="B22" s="11">
        <v>2024</v>
      </c>
      <c r="C22" s="1" t="s">
        <v>11</v>
      </c>
      <c r="D22" s="2">
        <v>13200</v>
      </c>
      <c r="E22" s="2">
        <v>724</v>
      </c>
      <c r="F22" s="2">
        <f t="shared" si="2"/>
        <v>9556800</v>
      </c>
      <c r="G22" s="2">
        <v>1156276000</v>
      </c>
      <c r="H22" s="2">
        <v>717073000</v>
      </c>
    </row>
    <row r="23" spans="1:8" x14ac:dyDescent="0.3">
      <c r="A23" s="1" t="s">
        <v>13</v>
      </c>
      <c r="B23" s="11">
        <v>2022</v>
      </c>
      <c r="C23" s="1" t="s">
        <v>14</v>
      </c>
      <c r="D23" s="2">
        <v>18478</v>
      </c>
      <c r="E23" s="2">
        <v>11942</v>
      </c>
      <c r="F23" s="2">
        <f>E23*D23</f>
        <v>220664276</v>
      </c>
      <c r="G23" s="2">
        <v>1155052000</v>
      </c>
      <c r="H23" s="2">
        <v>103569000</v>
      </c>
    </row>
    <row r="24" spans="1:8" x14ac:dyDescent="0.3">
      <c r="A24" s="1" t="s">
        <v>13</v>
      </c>
      <c r="B24" s="11">
        <v>2022</v>
      </c>
      <c r="C24" s="1" t="s">
        <v>15</v>
      </c>
      <c r="D24" s="2">
        <v>9788</v>
      </c>
      <c r="E24" s="2">
        <v>14458</v>
      </c>
      <c r="F24" s="2">
        <f t="shared" ref="F24:F28" si="3">E24*D24</f>
        <v>141514904</v>
      </c>
      <c r="G24" s="2">
        <v>1155052000</v>
      </c>
      <c r="H24" s="2">
        <v>103569000</v>
      </c>
    </row>
    <row r="25" spans="1:8" x14ac:dyDescent="0.3">
      <c r="A25" s="1" t="s">
        <v>13</v>
      </c>
      <c r="B25" s="11">
        <v>2022</v>
      </c>
      <c r="C25" s="1" t="s">
        <v>16</v>
      </c>
      <c r="D25" s="2">
        <v>11189</v>
      </c>
      <c r="E25" s="2">
        <v>17121</v>
      </c>
      <c r="F25" s="2">
        <f t="shared" si="3"/>
        <v>191566869</v>
      </c>
      <c r="G25" s="2">
        <v>1155052000</v>
      </c>
      <c r="H25" s="2">
        <v>103569000</v>
      </c>
    </row>
    <row r="26" spans="1:8" x14ac:dyDescent="0.3">
      <c r="A26" s="1" t="s">
        <v>13</v>
      </c>
      <c r="B26" s="11">
        <v>2022</v>
      </c>
      <c r="C26" s="1" t="s">
        <v>17</v>
      </c>
      <c r="D26" s="2">
        <v>6492</v>
      </c>
      <c r="E26" s="2">
        <v>30533</v>
      </c>
      <c r="F26" s="2">
        <f t="shared" si="3"/>
        <v>198220236</v>
      </c>
      <c r="G26" s="2">
        <v>1155052000</v>
      </c>
      <c r="H26" s="2">
        <v>103569000</v>
      </c>
    </row>
    <row r="27" spans="1:8" x14ac:dyDescent="0.3">
      <c r="A27" s="1" t="s">
        <v>13</v>
      </c>
      <c r="B27" s="11">
        <v>2022</v>
      </c>
      <c r="C27" s="1" t="s">
        <v>18</v>
      </c>
      <c r="D27" s="2">
        <v>5193</v>
      </c>
      <c r="E27" s="2">
        <v>36620</v>
      </c>
      <c r="F27" s="2">
        <f t="shared" si="3"/>
        <v>190167660</v>
      </c>
      <c r="G27" s="2">
        <v>1155052000</v>
      </c>
      <c r="H27" s="2">
        <v>103569000</v>
      </c>
    </row>
    <row r="28" spans="1:8" x14ac:dyDescent="0.3">
      <c r="A28" s="1" t="s">
        <v>13</v>
      </c>
      <c r="B28" s="11">
        <v>2022</v>
      </c>
      <c r="C28" s="1" t="s">
        <v>19</v>
      </c>
      <c r="D28" s="2">
        <v>8090</v>
      </c>
      <c r="E28" s="2">
        <v>24065</v>
      </c>
      <c r="F28" s="2">
        <f t="shared" si="3"/>
        <v>194685850</v>
      </c>
      <c r="G28" s="2">
        <v>1155052000</v>
      </c>
      <c r="H28" s="2">
        <v>103569000</v>
      </c>
    </row>
    <row r="29" spans="1:8" x14ac:dyDescent="0.3">
      <c r="A29" s="1" t="s">
        <v>13</v>
      </c>
      <c r="B29" s="11">
        <v>2022</v>
      </c>
      <c r="C29" s="1" t="s">
        <v>20</v>
      </c>
      <c r="D29" s="2">
        <v>4296</v>
      </c>
      <c r="E29" s="2">
        <v>4244</v>
      </c>
      <c r="F29" s="2">
        <f>E29*D29</f>
        <v>18232224</v>
      </c>
      <c r="G29" s="2">
        <v>1155052000</v>
      </c>
      <c r="H29" s="2">
        <v>103569000</v>
      </c>
    </row>
    <row r="30" spans="1:8" x14ac:dyDescent="0.3">
      <c r="A30" s="1" t="s">
        <v>13</v>
      </c>
      <c r="B30" s="11">
        <v>2023</v>
      </c>
      <c r="C30" s="1" t="s">
        <v>14</v>
      </c>
      <c r="D30" s="2">
        <v>19200</v>
      </c>
      <c r="E30" s="2">
        <v>15970</v>
      </c>
      <c r="F30" s="2">
        <f>E30*D30</f>
        <v>306624000</v>
      </c>
      <c r="G30" s="2">
        <v>1568018000</v>
      </c>
      <c r="H30" s="2">
        <v>133969000</v>
      </c>
    </row>
    <row r="31" spans="1:8" x14ac:dyDescent="0.3">
      <c r="A31" s="1" t="s">
        <v>13</v>
      </c>
      <c r="B31" s="11">
        <v>2023</v>
      </c>
      <c r="C31" s="1" t="s">
        <v>15</v>
      </c>
      <c r="D31" s="2">
        <v>10500</v>
      </c>
      <c r="E31" s="2">
        <v>19899</v>
      </c>
      <c r="F31" s="2">
        <f t="shared" ref="F31:F36" si="4">E31*D31</f>
        <v>208939500</v>
      </c>
      <c r="G31" s="2">
        <v>1568018000</v>
      </c>
      <c r="H31" s="2">
        <v>133969000</v>
      </c>
    </row>
    <row r="32" spans="1:8" x14ac:dyDescent="0.3">
      <c r="A32" s="1" t="s">
        <v>13</v>
      </c>
      <c r="B32" s="11">
        <v>2023</v>
      </c>
      <c r="C32" s="1" t="s">
        <v>16</v>
      </c>
      <c r="D32" s="2">
        <v>11800</v>
      </c>
      <c r="E32" s="2">
        <v>22819</v>
      </c>
      <c r="F32" s="2">
        <f t="shared" si="4"/>
        <v>269264200</v>
      </c>
      <c r="G32" s="2">
        <v>1568018000</v>
      </c>
      <c r="H32" s="2">
        <v>133969000</v>
      </c>
    </row>
    <row r="33" spans="1:8" x14ac:dyDescent="0.3">
      <c r="A33" s="1" t="s">
        <v>13</v>
      </c>
      <c r="B33" s="11">
        <v>2023</v>
      </c>
      <c r="C33" s="1" t="s">
        <v>17</v>
      </c>
      <c r="D33" s="2">
        <v>6900</v>
      </c>
      <c r="E33" s="2">
        <v>37156</v>
      </c>
      <c r="F33" s="2">
        <f t="shared" si="4"/>
        <v>256376400</v>
      </c>
      <c r="G33" s="2">
        <v>1568018000</v>
      </c>
      <c r="H33" s="2">
        <v>133969000</v>
      </c>
    </row>
    <row r="34" spans="1:8" x14ac:dyDescent="0.3">
      <c r="A34" s="1" t="s">
        <v>13</v>
      </c>
      <c r="B34" s="11">
        <v>2023</v>
      </c>
      <c r="C34" s="1" t="s">
        <v>18</v>
      </c>
      <c r="D34" s="2">
        <v>5500</v>
      </c>
      <c r="E34" s="2">
        <v>45999</v>
      </c>
      <c r="F34" s="2">
        <f t="shared" si="4"/>
        <v>252994500</v>
      </c>
      <c r="G34" s="2">
        <v>1568018000</v>
      </c>
      <c r="H34" s="2">
        <v>133969000</v>
      </c>
    </row>
    <row r="35" spans="1:8" x14ac:dyDescent="0.3">
      <c r="A35" s="1" t="s">
        <v>13</v>
      </c>
      <c r="B35" s="11">
        <v>2023</v>
      </c>
      <c r="C35" s="1" t="s">
        <v>19</v>
      </c>
      <c r="D35" s="2">
        <v>8600</v>
      </c>
      <c r="E35" s="2">
        <v>28749</v>
      </c>
      <c r="F35" s="2">
        <f t="shared" si="4"/>
        <v>247241400</v>
      </c>
      <c r="G35" s="2">
        <v>1568018000</v>
      </c>
      <c r="H35" s="2">
        <v>133969000</v>
      </c>
    </row>
    <row r="36" spans="1:8" x14ac:dyDescent="0.3">
      <c r="A36" s="1" t="s">
        <v>13</v>
      </c>
      <c r="B36" s="11">
        <v>2023</v>
      </c>
      <c r="C36" s="1" t="s">
        <v>20</v>
      </c>
      <c r="D36" s="2">
        <v>4600</v>
      </c>
      <c r="E36" s="2">
        <v>5774</v>
      </c>
      <c r="F36" s="2">
        <f t="shared" si="4"/>
        <v>26560400</v>
      </c>
      <c r="G36" s="2">
        <v>1568018000</v>
      </c>
      <c r="H36" s="2">
        <v>133969000</v>
      </c>
    </row>
    <row r="37" spans="1:8" x14ac:dyDescent="0.3">
      <c r="A37" s="1" t="s">
        <v>13</v>
      </c>
      <c r="B37" s="11">
        <v>2024</v>
      </c>
      <c r="C37" s="1" t="s">
        <v>14</v>
      </c>
      <c r="D37" s="2">
        <v>20000</v>
      </c>
      <c r="E37" s="2">
        <v>19365</v>
      </c>
      <c r="F37" s="2">
        <f>E37*D37</f>
        <v>387300000</v>
      </c>
      <c r="G37" s="2">
        <v>1992795000</v>
      </c>
      <c r="H37" s="2">
        <v>78763000</v>
      </c>
    </row>
    <row r="38" spans="1:8" x14ac:dyDescent="0.3">
      <c r="A38" s="1" t="s">
        <v>13</v>
      </c>
      <c r="B38" s="11">
        <v>2024</v>
      </c>
      <c r="C38" s="1" t="s">
        <v>15</v>
      </c>
      <c r="D38" s="2">
        <v>11200</v>
      </c>
      <c r="E38" s="2">
        <v>24099</v>
      </c>
      <c r="F38" s="2">
        <f t="shared" ref="F38:F43" si="5">E38*D38</f>
        <v>269908800</v>
      </c>
      <c r="G38" s="2">
        <v>1992795000</v>
      </c>
      <c r="H38" s="2">
        <v>78763000</v>
      </c>
    </row>
    <row r="39" spans="1:8" x14ac:dyDescent="0.3">
      <c r="A39" s="1" t="s">
        <v>13</v>
      </c>
      <c r="B39" s="11">
        <v>2024</v>
      </c>
      <c r="C39" s="1" t="s">
        <v>16</v>
      </c>
      <c r="D39" s="2">
        <v>12500</v>
      </c>
      <c r="E39" s="2">
        <v>27541</v>
      </c>
      <c r="F39" s="2">
        <f t="shared" si="5"/>
        <v>344262500</v>
      </c>
      <c r="G39" s="2">
        <v>1992795000</v>
      </c>
      <c r="H39" s="2">
        <v>78763000</v>
      </c>
    </row>
    <row r="40" spans="1:8" x14ac:dyDescent="0.3">
      <c r="A40" s="1" t="s">
        <v>13</v>
      </c>
      <c r="B40" s="11">
        <v>2024</v>
      </c>
      <c r="C40" s="1" t="s">
        <v>17</v>
      </c>
      <c r="D40" s="2">
        <v>7400</v>
      </c>
      <c r="E40" s="2">
        <v>43034</v>
      </c>
      <c r="F40" s="2">
        <f t="shared" si="5"/>
        <v>318451600</v>
      </c>
      <c r="G40" s="2">
        <v>1992795000</v>
      </c>
      <c r="H40" s="2">
        <v>78763000</v>
      </c>
    </row>
    <row r="41" spans="1:8" x14ac:dyDescent="0.3">
      <c r="A41" s="1" t="s">
        <v>13</v>
      </c>
      <c r="B41" s="11">
        <v>2024</v>
      </c>
      <c r="C41" s="1" t="s">
        <v>18</v>
      </c>
      <c r="D41" s="2">
        <v>5800</v>
      </c>
      <c r="E41" s="2">
        <v>55944</v>
      </c>
      <c r="F41" s="2">
        <f t="shared" si="5"/>
        <v>324475200</v>
      </c>
      <c r="G41" s="2">
        <v>1992795000</v>
      </c>
      <c r="H41" s="2">
        <v>78763000</v>
      </c>
    </row>
    <row r="42" spans="1:8" x14ac:dyDescent="0.3">
      <c r="A42" s="1" t="s">
        <v>13</v>
      </c>
      <c r="B42" s="11">
        <v>2024</v>
      </c>
      <c r="C42" s="1" t="s">
        <v>19</v>
      </c>
      <c r="D42" s="2">
        <v>9100</v>
      </c>
      <c r="E42" s="2">
        <v>34427</v>
      </c>
      <c r="F42" s="2">
        <f t="shared" si="5"/>
        <v>313285700</v>
      </c>
      <c r="G42" s="2">
        <v>1992795000</v>
      </c>
      <c r="H42" s="2">
        <v>78763000</v>
      </c>
    </row>
    <row r="43" spans="1:8" x14ac:dyDescent="0.3">
      <c r="A43" s="1" t="s">
        <v>13</v>
      </c>
      <c r="B43" s="11">
        <v>2024</v>
      </c>
      <c r="C43" s="1" t="s">
        <v>20</v>
      </c>
      <c r="D43" s="2">
        <v>4900</v>
      </c>
      <c r="E43" s="2">
        <v>7164</v>
      </c>
      <c r="F43" s="2">
        <f t="shared" si="5"/>
        <v>35103600</v>
      </c>
      <c r="G43" s="2">
        <v>1992795000</v>
      </c>
      <c r="H43" s="2">
        <v>78763000</v>
      </c>
    </row>
    <row r="44" spans="1:8" x14ac:dyDescent="0.3">
      <c r="A44" s="1" t="s">
        <v>21</v>
      </c>
      <c r="B44" s="11">
        <v>2022</v>
      </c>
      <c r="C44" s="1" t="s">
        <v>22</v>
      </c>
      <c r="D44" s="2">
        <v>16500</v>
      </c>
      <c r="E44" s="2">
        <v>35896</v>
      </c>
      <c r="F44" s="2">
        <f>E44*D44</f>
        <v>592284000</v>
      </c>
      <c r="G44" s="2">
        <v>2946303000</v>
      </c>
      <c r="H44" s="2">
        <v>431400000</v>
      </c>
    </row>
    <row r="45" spans="1:8" x14ac:dyDescent="0.3">
      <c r="A45" s="1" t="s">
        <v>21</v>
      </c>
      <c r="B45" s="11">
        <v>2022</v>
      </c>
      <c r="C45" s="1" t="s">
        <v>23</v>
      </c>
      <c r="D45" s="2">
        <v>24000</v>
      </c>
      <c r="E45" s="2">
        <v>20782</v>
      </c>
      <c r="F45" s="2">
        <f t="shared" ref="F45:F55" si="6">E45*D45</f>
        <v>498768000</v>
      </c>
      <c r="G45" s="2">
        <v>2946303000</v>
      </c>
      <c r="H45" s="2">
        <v>431400000</v>
      </c>
    </row>
    <row r="46" spans="1:8" x14ac:dyDescent="0.3">
      <c r="A46" s="1" t="s">
        <v>21</v>
      </c>
      <c r="B46" s="11">
        <v>2022</v>
      </c>
      <c r="C46" s="1" t="s">
        <v>24</v>
      </c>
      <c r="D46" s="2">
        <v>11200</v>
      </c>
      <c r="E46" s="2">
        <v>33062</v>
      </c>
      <c r="F46" s="2">
        <f t="shared" si="6"/>
        <v>370294400</v>
      </c>
      <c r="G46" s="2">
        <v>2946303000</v>
      </c>
      <c r="H46" s="2">
        <v>431400000</v>
      </c>
    </row>
    <row r="47" spans="1:8" x14ac:dyDescent="0.3">
      <c r="A47" s="1" t="s">
        <v>21</v>
      </c>
      <c r="B47" s="11">
        <v>2022</v>
      </c>
      <c r="C47" s="1" t="s">
        <v>25</v>
      </c>
      <c r="D47" s="2">
        <v>8500</v>
      </c>
      <c r="E47" s="2">
        <v>40101</v>
      </c>
      <c r="F47" s="2">
        <f t="shared" si="6"/>
        <v>340858500</v>
      </c>
      <c r="G47" s="2">
        <v>2946303000</v>
      </c>
      <c r="H47" s="2">
        <v>431400000</v>
      </c>
    </row>
    <row r="48" spans="1:8" x14ac:dyDescent="0.3">
      <c r="A48" s="1" t="s">
        <v>21</v>
      </c>
      <c r="B48" s="11">
        <v>2022</v>
      </c>
      <c r="C48" s="1" t="s">
        <v>26</v>
      </c>
      <c r="D48" s="2">
        <v>13500</v>
      </c>
      <c r="E48" s="2">
        <v>16170</v>
      </c>
      <c r="F48" s="2">
        <f t="shared" si="6"/>
        <v>218295000</v>
      </c>
      <c r="G48" s="2">
        <v>2946303000</v>
      </c>
      <c r="H48" s="2">
        <v>431400000</v>
      </c>
    </row>
    <row r="49" spans="1:8" x14ac:dyDescent="0.3">
      <c r="A49" s="1" t="s">
        <v>21</v>
      </c>
      <c r="B49" s="11">
        <v>2022</v>
      </c>
      <c r="C49" s="1" t="s">
        <v>27</v>
      </c>
      <c r="D49" s="2">
        <v>12800</v>
      </c>
      <c r="E49" s="2">
        <v>15114</v>
      </c>
      <c r="F49" s="2">
        <f t="shared" si="6"/>
        <v>193459200</v>
      </c>
      <c r="G49" s="2">
        <v>2946303000</v>
      </c>
      <c r="H49" s="2">
        <v>431400000</v>
      </c>
    </row>
    <row r="50" spans="1:8" x14ac:dyDescent="0.3">
      <c r="A50" s="1" t="s">
        <v>21</v>
      </c>
      <c r="B50" s="11">
        <v>2022</v>
      </c>
      <c r="C50" s="1" t="s">
        <v>17</v>
      </c>
      <c r="D50" s="2">
        <v>9200</v>
      </c>
      <c r="E50" s="2">
        <v>18893</v>
      </c>
      <c r="F50" s="2">
        <f t="shared" si="6"/>
        <v>173815600</v>
      </c>
      <c r="G50" s="2">
        <v>2946303000</v>
      </c>
      <c r="H50" s="2">
        <v>431400000</v>
      </c>
    </row>
    <row r="51" spans="1:8" x14ac:dyDescent="0.3">
      <c r="A51" s="1" t="s">
        <v>21</v>
      </c>
      <c r="B51" s="11">
        <v>2022</v>
      </c>
      <c r="C51" s="1" t="s">
        <v>28</v>
      </c>
      <c r="D51" s="2">
        <v>7800</v>
      </c>
      <c r="E51" s="2">
        <v>18893</v>
      </c>
      <c r="F51" s="2">
        <f t="shared" si="6"/>
        <v>147365400</v>
      </c>
      <c r="G51" s="2">
        <v>2946303000</v>
      </c>
      <c r="H51" s="2">
        <v>431400000</v>
      </c>
    </row>
    <row r="52" spans="1:8" x14ac:dyDescent="0.3">
      <c r="A52" s="1" t="s">
        <v>21</v>
      </c>
      <c r="B52" s="11">
        <v>2022</v>
      </c>
      <c r="C52" s="1" t="s">
        <v>29</v>
      </c>
      <c r="D52" s="2">
        <v>10500</v>
      </c>
      <c r="E52" s="2">
        <v>13225</v>
      </c>
      <c r="F52" s="2">
        <f t="shared" si="6"/>
        <v>138862500</v>
      </c>
      <c r="G52" s="2">
        <v>2946303000</v>
      </c>
      <c r="H52" s="2">
        <v>431400000</v>
      </c>
    </row>
    <row r="53" spans="1:8" x14ac:dyDescent="0.3">
      <c r="A53" s="1" t="s">
        <v>21</v>
      </c>
      <c r="B53" s="11">
        <v>2022</v>
      </c>
      <c r="C53" s="1" t="s">
        <v>30</v>
      </c>
      <c r="D53" s="2">
        <v>12200</v>
      </c>
      <c r="E53" s="2">
        <v>10391</v>
      </c>
      <c r="F53" s="2">
        <f t="shared" si="6"/>
        <v>126770200</v>
      </c>
      <c r="G53" s="2">
        <v>2946303000</v>
      </c>
      <c r="H53" s="2">
        <v>431400000</v>
      </c>
    </row>
    <row r="54" spans="1:8" x14ac:dyDescent="0.3">
      <c r="A54" s="1" t="s">
        <v>21</v>
      </c>
      <c r="B54" s="11">
        <v>2022</v>
      </c>
      <c r="C54" s="1" t="s">
        <v>31</v>
      </c>
      <c r="D54" s="2">
        <v>5600</v>
      </c>
      <c r="E54" s="2">
        <v>14169</v>
      </c>
      <c r="F54" s="2">
        <f t="shared" si="6"/>
        <v>79346400</v>
      </c>
      <c r="G54" s="2">
        <v>2946303000</v>
      </c>
      <c r="H54" s="2">
        <v>431400000</v>
      </c>
    </row>
    <row r="55" spans="1:8" x14ac:dyDescent="0.3">
      <c r="A55" s="1" t="s">
        <v>21</v>
      </c>
      <c r="B55" s="11">
        <v>2022</v>
      </c>
      <c r="C55" s="1" t="s">
        <v>32</v>
      </c>
      <c r="D55" s="2">
        <v>3500</v>
      </c>
      <c r="E55" s="2">
        <v>18893</v>
      </c>
      <c r="F55" s="2">
        <f t="shared" si="6"/>
        <v>66125500</v>
      </c>
      <c r="G55" s="2">
        <v>2946303000</v>
      </c>
      <c r="H55" s="2">
        <v>431400000</v>
      </c>
    </row>
    <row r="56" spans="1:8" x14ac:dyDescent="0.3">
      <c r="A56" s="1" t="s">
        <v>21</v>
      </c>
      <c r="B56" s="11">
        <v>2023</v>
      </c>
      <c r="C56" s="1" t="s">
        <v>22</v>
      </c>
      <c r="D56" s="2">
        <v>17200</v>
      </c>
      <c r="E56" s="2">
        <v>38132</v>
      </c>
      <c r="F56" s="2">
        <f>E56*D56</f>
        <v>655870400</v>
      </c>
      <c r="G56" s="2">
        <v>3387456000</v>
      </c>
      <c r="H56" s="2">
        <v>544435000</v>
      </c>
    </row>
    <row r="57" spans="1:8" x14ac:dyDescent="0.3">
      <c r="A57" s="1" t="s">
        <v>21</v>
      </c>
      <c r="B57" s="11">
        <v>2023</v>
      </c>
      <c r="C57" s="1" t="s">
        <v>23</v>
      </c>
      <c r="D57" s="2">
        <v>25000</v>
      </c>
      <c r="E57" s="2">
        <v>23568</v>
      </c>
      <c r="F57" s="2">
        <f t="shared" ref="F57:F67" si="7">E57*D57</f>
        <v>589200000</v>
      </c>
      <c r="G57" s="2">
        <v>3387456000</v>
      </c>
      <c r="H57" s="2">
        <v>544435000</v>
      </c>
    </row>
    <row r="58" spans="1:8" x14ac:dyDescent="0.3">
      <c r="A58" s="1" t="s">
        <v>21</v>
      </c>
      <c r="B58" s="11">
        <v>2023</v>
      </c>
      <c r="C58" s="1" t="s">
        <v>24</v>
      </c>
      <c r="D58" s="2">
        <v>11800</v>
      </c>
      <c r="E58" s="2">
        <v>36316</v>
      </c>
      <c r="F58" s="2">
        <f t="shared" si="7"/>
        <v>428528800</v>
      </c>
      <c r="G58" s="2">
        <v>3387456000</v>
      </c>
      <c r="H58" s="2">
        <v>544435000</v>
      </c>
    </row>
    <row r="59" spans="1:8" x14ac:dyDescent="0.3">
      <c r="A59" s="1" t="s">
        <v>21</v>
      </c>
      <c r="B59" s="11">
        <v>2023</v>
      </c>
      <c r="C59" s="1" t="s">
        <v>25</v>
      </c>
      <c r="D59" s="2">
        <v>8900</v>
      </c>
      <c r="E59" s="2">
        <v>40856</v>
      </c>
      <c r="F59" s="2">
        <f t="shared" si="7"/>
        <v>363618400</v>
      </c>
      <c r="G59" s="2">
        <v>3387456000</v>
      </c>
      <c r="H59" s="2">
        <v>544435000</v>
      </c>
    </row>
    <row r="60" spans="1:8" x14ac:dyDescent="0.3">
      <c r="A60" s="1" t="s">
        <v>21</v>
      </c>
      <c r="B60" s="11">
        <v>2023</v>
      </c>
      <c r="C60" s="1" t="s">
        <v>26</v>
      </c>
      <c r="D60" s="2">
        <v>14200</v>
      </c>
      <c r="E60" s="2">
        <v>19066</v>
      </c>
      <c r="F60" s="2">
        <f t="shared" si="7"/>
        <v>270737200</v>
      </c>
      <c r="G60" s="2">
        <v>3387456000</v>
      </c>
      <c r="H60" s="2">
        <v>544435000</v>
      </c>
    </row>
    <row r="61" spans="1:8" x14ac:dyDescent="0.3">
      <c r="A61" s="1" t="s">
        <v>21</v>
      </c>
      <c r="B61" s="11">
        <v>2023</v>
      </c>
      <c r="C61" s="1" t="s">
        <v>27</v>
      </c>
      <c r="D61" s="2">
        <v>13500</v>
      </c>
      <c r="E61" s="2">
        <v>16342</v>
      </c>
      <c r="F61" s="2">
        <f t="shared" si="7"/>
        <v>220617000</v>
      </c>
      <c r="G61" s="2">
        <v>3387456000</v>
      </c>
      <c r="H61" s="2">
        <v>544435000</v>
      </c>
    </row>
    <row r="62" spans="1:8" x14ac:dyDescent="0.3">
      <c r="A62" s="1" t="s">
        <v>21</v>
      </c>
      <c r="B62" s="11">
        <v>2023</v>
      </c>
      <c r="C62" s="1" t="s">
        <v>17</v>
      </c>
      <c r="D62" s="2">
        <v>9700</v>
      </c>
      <c r="E62" s="2">
        <v>19974</v>
      </c>
      <c r="F62" s="2">
        <f t="shared" si="7"/>
        <v>193747800</v>
      </c>
      <c r="G62" s="2">
        <v>3387456000</v>
      </c>
      <c r="H62" s="2">
        <v>544435000</v>
      </c>
    </row>
    <row r="63" spans="1:8" x14ac:dyDescent="0.3">
      <c r="A63" s="1" t="s">
        <v>21</v>
      </c>
      <c r="B63" s="11">
        <v>2023</v>
      </c>
      <c r="C63" s="1" t="s">
        <v>28</v>
      </c>
      <c r="D63" s="2">
        <v>8200</v>
      </c>
      <c r="E63" s="2">
        <v>20882</v>
      </c>
      <c r="F63" s="2">
        <f t="shared" si="7"/>
        <v>171232400</v>
      </c>
      <c r="G63" s="2">
        <v>3387456000</v>
      </c>
      <c r="H63" s="2">
        <v>544435000</v>
      </c>
    </row>
    <row r="64" spans="1:8" x14ac:dyDescent="0.3">
      <c r="A64" s="1" t="s">
        <v>21</v>
      </c>
      <c r="B64" s="11">
        <v>2023</v>
      </c>
      <c r="C64" s="1" t="s">
        <v>29</v>
      </c>
      <c r="D64" s="2">
        <v>11100</v>
      </c>
      <c r="E64" s="2">
        <v>14526</v>
      </c>
      <c r="F64" s="2">
        <f t="shared" si="7"/>
        <v>161238600</v>
      </c>
      <c r="G64" s="2">
        <v>3387456000</v>
      </c>
      <c r="H64" s="2">
        <v>544435000</v>
      </c>
    </row>
    <row r="65" spans="1:8" x14ac:dyDescent="0.3">
      <c r="A65" s="1" t="s">
        <v>21</v>
      </c>
      <c r="B65" s="11">
        <v>2023</v>
      </c>
      <c r="C65" s="1" t="s">
        <v>30</v>
      </c>
      <c r="D65" s="2">
        <v>12900</v>
      </c>
      <c r="E65" s="2">
        <v>11803</v>
      </c>
      <c r="F65" s="2">
        <f t="shared" si="7"/>
        <v>152258700</v>
      </c>
      <c r="G65" s="2">
        <v>3387456000</v>
      </c>
      <c r="H65" s="2">
        <v>544435000</v>
      </c>
    </row>
    <row r="66" spans="1:8" x14ac:dyDescent="0.3">
      <c r="A66" s="1" t="s">
        <v>21</v>
      </c>
      <c r="B66" s="11">
        <v>2023</v>
      </c>
      <c r="C66" s="1" t="s">
        <v>31</v>
      </c>
      <c r="D66" s="2">
        <v>5900</v>
      </c>
      <c r="E66" s="2">
        <v>16342</v>
      </c>
      <c r="F66" s="2">
        <f t="shared" si="7"/>
        <v>96417800</v>
      </c>
      <c r="G66" s="2">
        <v>3387456000</v>
      </c>
      <c r="H66" s="2">
        <v>544435000</v>
      </c>
    </row>
    <row r="67" spans="1:8" x14ac:dyDescent="0.3">
      <c r="A67" s="1" t="s">
        <v>21</v>
      </c>
      <c r="B67" s="11">
        <v>2023</v>
      </c>
      <c r="C67" s="1" t="s">
        <v>32</v>
      </c>
      <c r="D67" s="2">
        <v>3700</v>
      </c>
      <c r="E67" s="2">
        <v>22698</v>
      </c>
      <c r="F67" s="2">
        <f t="shared" si="7"/>
        <v>83982600</v>
      </c>
      <c r="G67" s="2">
        <v>3387456000</v>
      </c>
      <c r="H67" s="2">
        <v>544435000</v>
      </c>
    </row>
    <row r="68" spans="1:8" x14ac:dyDescent="0.3">
      <c r="A68" s="1" t="s">
        <v>21</v>
      </c>
      <c r="B68" s="11">
        <v>2024</v>
      </c>
      <c r="C68" s="1" t="s">
        <v>22</v>
      </c>
      <c r="D68" s="2">
        <v>18000</v>
      </c>
      <c r="E68" s="2">
        <v>41253</v>
      </c>
      <c r="F68" s="2">
        <f>E68*D68</f>
        <v>742554000</v>
      </c>
      <c r="G68" s="2">
        <v>4246648000</v>
      </c>
      <c r="H68" s="2">
        <v>441191000</v>
      </c>
    </row>
    <row r="69" spans="1:8" x14ac:dyDescent="0.3">
      <c r="A69" s="1" t="s">
        <v>21</v>
      </c>
      <c r="B69" s="11">
        <v>2024</v>
      </c>
      <c r="C69" s="1" t="s">
        <v>23</v>
      </c>
      <c r="D69" s="2">
        <v>26200</v>
      </c>
      <c r="E69" s="2">
        <v>27502</v>
      </c>
      <c r="F69" s="2">
        <f t="shared" ref="F69:F79" si="8">E69*D69</f>
        <v>720552400</v>
      </c>
      <c r="G69" s="2">
        <v>4246648000</v>
      </c>
      <c r="H69" s="2">
        <v>441191000</v>
      </c>
    </row>
    <row r="70" spans="1:8" x14ac:dyDescent="0.3">
      <c r="A70" s="1" t="s">
        <v>21</v>
      </c>
      <c r="B70" s="11">
        <v>2024</v>
      </c>
      <c r="C70" s="1" t="s">
        <v>24</v>
      </c>
      <c r="D70" s="2">
        <v>12500</v>
      </c>
      <c r="E70" s="2">
        <v>41253</v>
      </c>
      <c r="F70" s="2">
        <f t="shared" si="8"/>
        <v>515662500</v>
      </c>
      <c r="G70" s="2">
        <v>4246648000</v>
      </c>
      <c r="H70" s="2">
        <v>441191000</v>
      </c>
    </row>
    <row r="71" spans="1:8" x14ac:dyDescent="0.3">
      <c r="A71" s="1" t="s">
        <v>21</v>
      </c>
      <c r="B71" s="11">
        <v>2024</v>
      </c>
      <c r="C71" s="1" t="s">
        <v>25</v>
      </c>
      <c r="D71" s="2">
        <v>9400</v>
      </c>
      <c r="E71" s="2">
        <v>47151</v>
      </c>
      <c r="F71" s="2">
        <f t="shared" si="8"/>
        <v>443219400</v>
      </c>
      <c r="G71" s="2">
        <v>4246648000</v>
      </c>
      <c r="H71" s="2">
        <v>441191000</v>
      </c>
    </row>
    <row r="72" spans="1:8" x14ac:dyDescent="0.3">
      <c r="A72" s="1" t="s">
        <v>21</v>
      </c>
      <c r="B72" s="11">
        <v>2024</v>
      </c>
      <c r="C72" s="1" t="s">
        <v>26</v>
      </c>
      <c r="D72" s="2">
        <v>15000</v>
      </c>
      <c r="E72" s="2">
        <v>24064</v>
      </c>
      <c r="F72" s="2">
        <f t="shared" si="8"/>
        <v>360960000</v>
      </c>
      <c r="G72" s="2">
        <v>4246648000</v>
      </c>
      <c r="H72" s="2">
        <v>441191000</v>
      </c>
    </row>
    <row r="73" spans="1:8" x14ac:dyDescent="0.3">
      <c r="A73" s="1" t="s">
        <v>21</v>
      </c>
      <c r="B73" s="11">
        <v>2024</v>
      </c>
      <c r="C73" s="1" t="s">
        <v>27</v>
      </c>
      <c r="D73" s="2">
        <v>14200</v>
      </c>
      <c r="E73" s="2">
        <v>21486</v>
      </c>
      <c r="F73" s="2">
        <f t="shared" si="8"/>
        <v>305101200</v>
      </c>
      <c r="G73" s="2">
        <v>4246648000</v>
      </c>
      <c r="H73" s="2">
        <v>441191000</v>
      </c>
    </row>
    <row r="74" spans="1:8" x14ac:dyDescent="0.3">
      <c r="A74" s="1" t="s">
        <v>21</v>
      </c>
      <c r="B74" s="11">
        <v>2024</v>
      </c>
      <c r="C74" s="1" t="s">
        <v>17</v>
      </c>
      <c r="D74" s="2">
        <v>10300</v>
      </c>
      <c r="E74" s="2">
        <v>24064</v>
      </c>
      <c r="F74" s="2">
        <f t="shared" si="8"/>
        <v>247859200</v>
      </c>
      <c r="G74" s="2">
        <v>4246648000</v>
      </c>
      <c r="H74" s="2">
        <v>441191000</v>
      </c>
    </row>
    <row r="75" spans="1:8" x14ac:dyDescent="0.3">
      <c r="A75" s="1" t="s">
        <v>21</v>
      </c>
      <c r="B75" s="11">
        <v>2024</v>
      </c>
      <c r="C75" s="1" t="s">
        <v>28</v>
      </c>
      <c r="D75" s="2">
        <v>8700</v>
      </c>
      <c r="E75" s="2">
        <v>25783</v>
      </c>
      <c r="F75" s="2">
        <f t="shared" si="8"/>
        <v>224312100</v>
      </c>
      <c r="G75" s="2">
        <v>4246648000</v>
      </c>
      <c r="H75" s="2">
        <v>441191000</v>
      </c>
    </row>
    <row r="76" spans="1:8" x14ac:dyDescent="0.3">
      <c r="A76" s="1" t="s">
        <v>21</v>
      </c>
      <c r="B76" s="11">
        <v>2024</v>
      </c>
      <c r="C76" s="1" t="s">
        <v>29</v>
      </c>
      <c r="D76" s="2">
        <v>11800</v>
      </c>
      <c r="E76" s="2">
        <v>18908</v>
      </c>
      <c r="F76" s="2">
        <f t="shared" si="8"/>
        <v>223114400</v>
      </c>
      <c r="G76" s="2">
        <v>4246648000</v>
      </c>
      <c r="H76" s="2">
        <v>441191000</v>
      </c>
    </row>
    <row r="77" spans="1:8" x14ac:dyDescent="0.3">
      <c r="A77" s="1" t="s">
        <v>21</v>
      </c>
      <c r="B77" s="11">
        <v>2024</v>
      </c>
      <c r="C77" s="1" t="s">
        <v>30</v>
      </c>
      <c r="D77" s="2">
        <v>13600</v>
      </c>
      <c r="E77" s="2">
        <v>15470</v>
      </c>
      <c r="F77" s="2">
        <f t="shared" si="8"/>
        <v>210392000</v>
      </c>
      <c r="G77" s="2">
        <v>4246648000</v>
      </c>
      <c r="H77" s="2">
        <v>441191000</v>
      </c>
    </row>
    <row r="78" spans="1:8" x14ac:dyDescent="0.3">
      <c r="A78" s="1" t="s">
        <v>21</v>
      </c>
      <c r="B78" s="11">
        <v>2024</v>
      </c>
      <c r="C78" s="1" t="s">
        <v>31</v>
      </c>
      <c r="D78" s="2">
        <v>6300</v>
      </c>
      <c r="E78" s="2">
        <v>21486</v>
      </c>
      <c r="F78" s="2">
        <f t="shared" si="8"/>
        <v>135361800</v>
      </c>
      <c r="G78" s="2">
        <v>4246648000</v>
      </c>
      <c r="H78" s="2">
        <v>441191000</v>
      </c>
    </row>
    <row r="79" spans="1:8" x14ac:dyDescent="0.3">
      <c r="A79" s="1" t="s">
        <v>21</v>
      </c>
      <c r="B79" s="11">
        <v>2024</v>
      </c>
      <c r="C79" s="1" t="s">
        <v>32</v>
      </c>
      <c r="D79" s="2">
        <v>3900</v>
      </c>
      <c r="E79" s="2">
        <v>30080</v>
      </c>
      <c r="F79" s="2">
        <f t="shared" si="8"/>
        <v>117312000</v>
      </c>
      <c r="G79" s="2">
        <v>4246648000</v>
      </c>
      <c r="H79" s="2">
        <v>441191000</v>
      </c>
    </row>
    <row r="80" spans="1:8" x14ac:dyDescent="0.3">
      <c r="A80" s="1" t="s">
        <v>33</v>
      </c>
      <c r="B80" s="11">
        <v>2022</v>
      </c>
      <c r="C80" s="1" t="s">
        <v>34</v>
      </c>
      <c r="D80" s="2">
        <v>18500</v>
      </c>
      <c r="E80" s="2">
        <v>45833</v>
      </c>
      <c r="F80" s="2">
        <f>E80*D80</f>
        <v>847910500</v>
      </c>
      <c r="G80" s="2">
        <v>3863261000</v>
      </c>
      <c r="H80" s="2">
        <v>185620000</v>
      </c>
    </row>
    <row r="81" spans="1:8" x14ac:dyDescent="0.3">
      <c r="A81" s="1" t="s">
        <v>33</v>
      </c>
      <c r="B81" s="11">
        <v>2022</v>
      </c>
      <c r="C81" s="1" t="s">
        <v>35</v>
      </c>
      <c r="D81" s="2">
        <v>26000</v>
      </c>
      <c r="E81" s="2">
        <v>28519</v>
      </c>
      <c r="F81" s="2">
        <f t="shared" ref="F81:F97" si="9">E81*D81</f>
        <v>741494000</v>
      </c>
      <c r="G81" s="2">
        <v>3863261000</v>
      </c>
      <c r="H81" s="2">
        <v>185620000</v>
      </c>
    </row>
    <row r="82" spans="1:8" x14ac:dyDescent="0.3">
      <c r="A82" s="1" t="s">
        <v>33</v>
      </c>
      <c r="B82" s="11">
        <v>2022</v>
      </c>
      <c r="C82" s="1" t="s">
        <v>36</v>
      </c>
      <c r="D82" s="2">
        <v>850000</v>
      </c>
      <c r="E82" s="2">
        <v>387</v>
      </c>
      <c r="F82" s="2">
        <f t="shared" si="9"/>
        <v>328950000</v>
      </c>
      <c r="G82" s="2">
        <v>3863261000</v>
      </c>
      <c r="H82" s="2">
        <v>185620000</v>
      </c>
    </row>
    <row r="83" spans="1:8" x14ac:dyDescent="0.3">
      <c r="A83" s="1" t="s">
        <v>33</v>
      </c>
      <c r="B83" s="11">
        <v>2022</v>
      </c>
      <c r="C83" s="1" t="s">
        <v>37</v>
      </c>
      <c r="D83" s="2">
        <v>650000</v>
      </c>
      <c r="E83" s="2">
        <v>428</v>
      </c>
      <c r="F83" s="2">
        <f t="shared" si="9"/>
        <v>278200000</v>
      </c>
      <c r="G83" s="2">
        <v>3863261000</v>
      </c>
      <c r="H83" s="2">
        <v>185620000</v>
      </c>
    </row>
    <row r="84" spans="1:8" x14ac:dyDescent="0.3">
      <c r="A84" s="1" t="s">
        <v>33</v>
      </c>
      <c r="B84" s="11">
        <v>2022</v>
      </c>
      <c r="C84" s="1" t="s">
        <v>15</v>
      </c>
      <c r="D84" s="2">
        <v>10200</v>
      </c>
      <c r="E84" s="2">
        <v>12307</v>
      </c>
      <c r="F84" s="2">
        <f t="shared" si="9"/>
        <v>125531400</v>
      </c>
      <c r="G84" s="2">
        <v>3863261000</v>
      </c>
      <c r="H84" s="2">
        <v>185620000</v>
      </c>
    </row>
    <row r="85" spans="1:8" x14ac:dyDescent="0.3">
      <c r="A85" s="1" t="s">
        <v>33</v>
      </c>
      <c r="B85" s="11">
        <v>2022</v>
      </c>
      <c r="C85" s="1" t="s">
        <v>38</v>
      </c>
      <c r="D85" s="2">
        <v>32000</v>
      </c>
      <c r="E85" s="2">
        <v>6620</v>
      </c>
      <c r="F85" s="2">
        <f t="shared" si="9"/>
        <v>211840000</v>
      </c>
      <c r="G85" s="2">
        <v>3863261000</v>
      </c>
      <c r="H85" s="2">
        <v>185620000</v>
      </c>
    </row>
    <row r="86" spans="1:8" x14ac:dyDescent="0.3">
      <c r="A86" s="1" t="s">
        <v>33</v>
      </c>
      <c r="B86" s="11">
        <v>2022</v>
      </c>
      <c r="C86" s="1" t="s">
        <v>39</v>
      </c>
      <c r="D86" s="2">
        <v>12500</v>
      </c>
      <c r="E86" s="2">
        <v>16296</v>
      </c>
      <c r="F86" s="2">
        <f t="shared" si="9"/>
        <v>203700000</v>
      </c>
      <c r="G86" s="2">
        <v>3863261000</v>
      </c>
      <c r="H86" s="2">
        <v>185620000</v>
      </c>
    </row>
    <row r="87" spans="1:8" x14ac:dyDescent="0.3">
      <c r="A87" s="1" t="s">
        <v>33</v>
      </c>
      <c r="B87" s="11">
        <v>2022</v>
      </c>
      <c r="C87" s="1" t="s">
        <v>40</v>
      </c>
      <c r="D87" s="2">
        <v>1200000</v>
      </c>
      <c r="E87" s="2">
        <v>163</v>
      </c>
      <c r="F87" s="2">
        <f t="shared" si="9"/>
        <v>195600000</v>
      </c>
      <c r="G87" s="2">
        <v>3863261000</v>
      </c>
      <c r="H87" s="2">
        <v>185620000</v>
      </c>
    </row>
    <row r="88" spans="1:8" x14ac:dyDescent="0.3">
      <c r="A88" s="1" t="s">
        <v>33</v>
      </c>
      <c r="B88" s="11">
        <v>2022</v>
      </c>
      <c r="C88" s="1" t="s">
        <v>41</v>
      </c>
      <c r="D88" s="2">
        <v>180000</v>
      </c>
      <c r="E88" s="2">
        <v>968</v>
      </c>
      <c r="F88" s="2">
        <f t="shared" si="9"/>
        <v>174240000</v>
      </c>
      <c r="G88" s="2">
        <v>3863261000</v>
      </c>
      <c r="H88" s="2">
        <v>185620000</v>
      </c>
    </row>
    <row r="89" spans="1:8" x14ac:dyDescent="0.3">
      <c r="A89" s="1" t="s">
        <v>33</v>
      </c>
      <c r="B89" s="11">
        <v>2022</v>
      </c>
      <c r="C89" s="1" t="s">
        <v>42</v>
      </c>
      <c r="D89" s="2">
        <v>8500</v>
      </c>
      <c r="E89" s="2">
        <v>18333</v>
      </c>
      <c r="F89" s="2">
        <f t="shared" si="9"/>
        <v>155830500</v>
      </c>
      <c r="G89" s="2">
        <v>3863261000</v>
      </c>
      <c r="H89" s="2">
        <v>185620000</v>
      </c>
    </row>
    <row r="90" spans="1:8" x14ac:dyDescent="0.3">
      <c r="A90" s="1" t="s">
        <v>33</v>
      </c>
      <c r="B90" s="11">
        <v>2022</v>
      </c>
      <c r="C90" s="1" t="s">
        <v>17</v>
      </c>
      <c r="D90" s="2">
        <v>7800</v>
      </c>
      <c r="E90" s="2">
        <v>15278</v>
      </c>
      <c r="F90" s="2">
        <f t="shared" si="9"/>
        <v>119168400</v>
      </c>
      <c r="G90" s="2">
        <v>3863261000</v>
      </c>
      <c r="H90" s="2">
        <v>185620000</v>
      </c>
    </row>
    <row r="91" spans="1:8" x14ac:dyDescent="0.3">
      <c r="A91" s="1" t="s">
        <v>33</v>
      </c>
      <c r="B91" s="11">
        <v>2022</v>
      </c>
      <c r="C91" s="1" t="s">
        <v>43</v>
      </c>
      <c r="D91" s="2">
        <v>12800</v>
      </c>
      <c r="E91" s="2">
        <v>8657</v>
      </c>
      <c r="F91" s="2">
        <f t="shared" si="9"/>
        <v>110809600</v>
      </c>
      <c r="G91" s="2">
        <v>3863261000</v>
      </c>
      <c r="H91" s="2">
        <v>185620000</v>
      </c>
    </row>
    <row r="92" spans="1:8" x14ac:dyDescent="0.3">
      <c r="A92" s="1" t="s">
        <v>33</v>
      </c>
      <c r="B92" s="11">
        <v>2022</v>
      </c>
      <c r="C92" s="1" t="s">
        <v>29</v>
      </c>
      <c r="D92" s="2">
        <v>9600</v>
      </c>
      <c r="E92" s="2">
        <v>9167</v>
      </c>
      <c r="F92" s="2">
        <f t="shared" si="9"/>
        <v>88003200</v>
      </c>
      <c r="G92" s="2">
        <v>3863261000</v>
      </c>
      <c r="H92" s="2">
        <v>185620000</v>
      </c>
    </row>
    <row r="93" spans="1:8" x14ac:dyDescent="0.3">
      <c r="A93" s="1" t="s">
        <v>33</v>
      </c>
      <c r="B93" s="11">
        <v>2022</v>
      </c>
      <c r="C93" s="1" t="s">
        <v>28</v>
      </c>
      <c r="D93" s="2">
        <v>6900</v>
      </c>
      <c r="E93" s="2">
        <v>11204</v>
      </c>
      <c r="F93" s="2">
        <f t="shared" si="9"/>
        <v>77307600</v>
      </c>
      <c r="G93" s="2">
        <v>3863261000</v>
      </c>
      <c r="H93" s="2">
        <v>185620000</v>
      </c>
    </row>
    <row r="94" spans="1:8" x14ac:dyDescent="0.3">
      <c r="A94" s="1" t="s">
        <v>33</v>
      </c>
      <c r="B94" s="11">
        <v>2022</v>
      </c>
      <c r="C94" s="1" t="s">
        <v>44</v>
      </c>
      <c r="D94" s="2">
        <v>85000</v>
      </c>
      <c r="E94" s="2">
        <v>815</v>
      </c>
      <c r="F94" s="2">
        <f t="shared" si="9"/>
        <v>69275000</v>
      </c>
      <c r="G94" s="2">
        <v>3863261000</v>
      </c>
      <c r="H94" s="2">
        <v>185620000</v>
      </c>
    </row>
    <row r="95" spans="1:8" x14ac:dyDescent="0.3">
      <c r="A95" s="1" t="s">
        <v>33</v>
      </c>
      <c r="B95" s="11">
        <v>2022</v>
      </c>
      <c r="C95" s="1" t="s">
        <v>45</v>
      </c>
      <c r="D95" s="2">
        <v>120000</v>
      </c>
      <c r="E95" s="2">
        <v>458</v>
      </c>
      <c r="F95" s="2">
        <f t="shared" si="9"/>
        <v>54960000</v>
      </c>
      <c r="G95" s="2">
        <v>3863261000</v>
      </c>
      <c r="H95" s="2">
        <v>185620000</v>
      </c>
    </row>
    <row r="96" spans="1:8" x14ac:dyDescent="0.3">
      <c r="A96" s="1" t="s">
        <v>33</v>
      </c>
      <c r="B96" s="11">
        <v>2022</v>
      </c>
      <c r="C96" s="1" t="s">
        <v>46</v>
      </c>
      <c r="D96" s="2">
        <v>95000</v>
      </c>
      <c r="E96" s="2">
        <v>509</v>
      </c>
      <c r="F96" s="2">
        <f t="shared" si="9"/>
        <v>48355000</v>
      </c>
      <c r="G96" s="2">
        <v>3863261000</v>
      </c>
      <c r="H96" s="2">
        <v>185620000</v>
      </c>
    </row>
    <row r="97" spans="1:8" x14ac:dyDescent="0.3">
      <c r="A97" s="1" t="s">
        <v>33</v>
      </c>
      <c r="B97" s="11">
        <v>2022</v>
      </c>
      <c r="C97" s="1" t="s">
        <v>47</v>
      </c>
      <c r="D97" s="2">
        <v>450000</v>
      </c>
      <c r="E97" s="2">
        <v>71</v>
      </c>
      <c r="F97" s="2">
        <f t="shared" si="9"/>
        <v>31950000</v>
      </c>
      <c r="G97" s="2">
        <v>3863261000</v>
      </c>
      <c r="H97" s="2">
        <v>185620000</v>
      </c>
    </row>
    <row r="98" spans="1:8" x14ac:dyDescent="0.3">
      <c r="A98" s="1" t="s">
        <v>33</v>
      </c>
      <c r="B98" s="11">
        <v>2023</v>
      </c>
      <c r="C98" s="1" t="s">
        <v>34</v>
      </c>
      <c r="D98" s="2">
        <v>19200</v>
      </c>
      <c r="E98" s="2">
        <v>43287</v>
      </c>
      <c r="F98" s="2">
        <f>E98*D98</f>
        <v>831110400</v>
      </c>
      <c r="G98" s="2">
        <v>4596643000</v>
      </c>
      <c r="H98" s="2">
        <v>544978000</v>
      </c>
    </row>
    <row r="99" spans="1:8" x14ac:dyDescent="0.3">
      <c r="A99" s="1" t="s">
        <v>33</v>
      </c>
      <c r="B99" s="11">
        <v>2023</v>
      </c>
      <c r="C99" s="1" t="s">
        <v>35</v>
      </c>
      <c r="D99" s="2">
        <v>27000</v>
      </c>
      <c r="E99" s="2">
        <v>6754</v>
      </c>
      <c r="F99" s="2">
        <f t="shared" ref="F99:F115" si="10">E99*D99</f>
        <v>182358000</v>
      </c>
      <c r="G99" s="2">
        <v>4596643000</v>
      </c>
      <c r="H99" s="2">
        <v>544978000</v>
      </c>
    </row>
    <row r="100" spans="1:8" x14ac:dyDescent="0.3">
      <c r="A100" s="1" t="s">
        <v>33</v>
      </c>
      <c r="B100" s="11">
        <v>2023</v>
      </c>
      <c r="C100" s="1" t="s">
        <v>36</v>
      </c>
      <c r="D100" s="2">
        <v>890000</v>
      </c>
      <c r="E100" s="2">
        <v>501</v>
      </c>
      <c r="F100" s="2">
        <f t="shared" si="10"/>
        <v>445890000</v>
      </c>
      <c r="G100" s="2">
        <v>4596643000</v>
      </c>
      <c r="H100" s="2">
        <v>544978000</v>
      </c>
    </row>
    <row r="101" spans="1:8" x14ac:dyDescent="0.3">
      <c r="A101" s="1" t="s">
        <v>33</v>
      </c>
      <c r="B101" s="11">
        <v>2023</v>
      </c>
      <c r="C101" s="1" t="s">
        <v>37</v>
      </c>
      <c r="D101" s="2">
        <v>680000</v>
      </c>
      <c r="E101" s="2">
        <v>540</v>
      </c>
      <c r="F101" s="2">
        <f t="shared" si="10"/>
        <v>367200000</v>
      </c>
      <c r="G101" s="2">
        <v>4596643000</v>
      </c>
      <c r="H101" s="2">
        <v>544978000</v>
      </c>
    </row>
    <row r="102" spans="1:8" x14ac:dyDescent="0.3">
      <c r="A102" s="1" t="s">
        <v>33</v>
      </c>
      <c r="B102" s="11">
        <v>2023</v>
      </c>
      <c r="C102" s="1" t="s">
        <v>15</v>
      </c>
      <c r="D102" s="2">
        <v>10700</v>
      </c>
      <c r="E102" s="2">
        <v>29958</v>
      </c>
      <c r="F102" s="2">
        <f t="shared" si="10"/>
        <v>320550600</v>
      </c>
      <c r="G102" s="2">
        <v>4596643000</v>
      </c>
      <c r="H102" s="2">
        <v>544978000</v>
      </c>
    </row>
    <row r="103" spans="1:8" x14ac:dyDescent="0.3">
      <c r="A103" s="1" t="s">
        <v>33</v>
      </c>
      <c r="B103" s="11">
        <v>2023</v>
      </c>
      <c r="C103" s="1" t="s">
        <v>38</v>
      </c>
      <c r="D103" s="2">
        <v>33500</v>
      </c>
      <c r="E103" s="2">
        <v>8545</v>
      </c>
      <c r="F103" s="2">
        <f t="shared" si="10"/>
        <v>286257500</v>
      </c>
      <c r="G103" s="2">
        <v>4596643000</v>
      </c>
      <c r="H103" s="2">
        <v>544978000</v>
      </c>
    </row>
    <row r="104" spans="1:8" x14ac:dyDescent="0.3">
      <c r="A104" s="1" t="s">
        <v>33</v>
      </c>
      <c r="B104" s="11">
        <v>2023</v>
      </c>
      <c r="C104" s="1" t="s">
        <v>39</v>
      </c>
      <c r="D104" s="2">
        <v>13100</v>
      </c>
      <c r="E104" s="2">
        <v>19582</v>
      </c>
      <c r="F104" s="2">
        <f t="shared" si="10"/>
        <v>256524200</v>
      </c>
      <c r="G104" s="2">
        <v>4596643000</v>
      </c>
      <c r="H104" s="2">
        <v>544978000</v>
      </c>
    </row>
    <row r="105" spans="1:8" x14ac:dyDescent="0.3">
      <c r="A105" s="1" t="s">
        <v>33</v>
      </c>
      <c r="B105" s="11">
        <v>2023</v>
      </c>
      <c r="C105" s="1" t="s">
        <v>40</v>
      </c>
      <c r="D105" s="2">
        <v>1260000</v>
      </c>
      <c r="E105" s="2">
        <v>306</v>
      </c>
      <c r="F105" s="2">
        <f t="shared" si="10"/>
        <v>385560000</v>
      </c>
      <c r="G105" s="2">
        <v>4596643000</v>
      </c>
      <c r="H105" s="2">
        <v>544978000</v>
      </c>
    </row>
    <row r="106" spans="1:8" x14ac:dyDescent="0.3">
      <c r="A106" s="1" t="s">
        <v>33</v>
      </c>
      <c r="B106" s="11">
        <v>2023</v>
      </c>
      <c r="C106" s="1" t="s">
        <v>41</v>
      </c>
      <c r="D106" s="2">
        <v>189000</v>
      </c>
      <c r="E106" s="2">
        <v>1237</v>
      </c>
      <c r="F106" s="2">
        <f t="shared" si="10"/>
        <v>233793000</v>
      </c>
      <c r="G106" s="2">
        <v>4596643000</v>
      </c>
      <c r="H106" s="2">
        <v>544978000</v>
      </c>
    </row>
    <row r="107" spans="1:8" x14ac:dyDescent="0.3">
      <c r="A107" s="1" t="s">
        <v>33</v>
      </c>
      <c r="B107" s="11">
        <v>2023</v>
      </c>
      <c r="C107" s="1" t="s">
        <v>42</v>
      </c>
      <c r="D107" s="2">
        <v>8900</v>
      </c>
      <c r="E107" s="2">
        <v>23746</v>
      </c>
      <c r="F107" s="2">
        <f t="shared" si="10"/>
        <v>211339400</v>
      </c>
      <c r="G107" s="2">
        <v>4596643000</v>
      </c>
      <c r="H107" s="2">
        <v>544978000</v>
      </c>
    </row>
    <row r="108" spans="1:8" x14ac:dyDescent="0.3">
      <c r="A108" s="1" t="s">
        <v>33</v>
      </c>
      <c r="B108" s="11">
        <v>2023</v>
      </c>
      <c r="C108" s="1" t="s">
        <v>17</v>
      </c>
      <c r="D108" s="2">
        <v>8200</v>
      </c>
      <c r="E108" s="2">
        <v>19582</v>
      </c>
      <c r="F108" s="2">
        <f t="shared" si="10"/>
        <v>160572400</v>
      </c>
      <c r="G108" s="2">
        <v>4596643000</v>
      </c>
      <c r="H108" s="2">
        <v>544978000</v>
      </c>
    </row>
    <row r="109" spans="1:8" x14ac:dyDescent="0.3">
      <c r="A109" s="1" t="s">
        <v>33</v>
      </c>
      <c r="B109" s="11">
        <v>2023</v>
      </c>
      <c r="C109" s="1" t="s">
        <v>43</v>
      </c>
      <c r="D109" s="2">
        <v>13400</v>
      </c>
      <c r="E109" s="2">
        <v>22437</v>
      </c>
      <c r="F109" s="2">
        <f t="shared" si="10"/>
        <v>300655800</v>
      </c>
      <c r="G109" s="2">
        <v>4596643000</v>
      </c>
      <c r="H109" s="2">
        <v>544978000</v>
      </c>
    </row>
    <row r="110" spans="1:8" x14ac:dyDescent="0.3">
      <c r="A110" s="1" t="s">
        <v>33</v>
      </c>
      <c r="B110" s="11">
        <v>2023</v>
      </c>
      <c r="C110" s="1" t="s">
        <v>29</v>
      </c>
      <c r="D110" s="2">
        <v>10100</v>
      </c>
      <c r="E110" s="2">
        <v>12368</v>
      </c>
      <c r="F110" s="2">
        <f t="shared" si="10"/>
        <v>124916800</v>
      </c>
      <c r="G110" s="2">
        <v>4596643000</v>
      </c>
      <c r="H110" s="2">
        <v>544978000</v>
      </c>
    </row>
    <row r="111" spans="1:8" x14ac:dyDescent="0.3">
      <c r="A111" s="1" t="s">
        <v>33</v>
      </c>
      <c r="B111" s="11">
        <v>2023</v>
      </c>
      <c r="C111" s="1" t="s">
        <v>28</v>
      </c>
      <c r="D111" s="2">
        <v>7250</v>
      </c>
      <c r="E111" s="2">
        <v>16480</v>
      </c>
      <c r="F111" s="2">
        <f t="shared" si="10"/>
        <v>119480000</v>
      </c>
      <c r="G111" s="2">
        <v>4596643000</v>
      </c>
      <c r="H111" s="2">
        <v>544978000</v>
      </c>
    </row>
    <row r="112" spans="1:8" x14ac:dyDescent="0.3">
      <c r="A112" s="1" t="s">
        <v>33</v>
      </c>
      <c r="B112" s="11">
        <v>2023</v>
      </c>
      <c r="C112" s="1" t="s">
        <v>44</v>
      </c>
      <c r="D112" s="2">
        <v>89000</v>
      </c>
      <c r="E112" s="2">
        <v>1134</v>
      </c>
      <c r="F112" s="2">
        <f t="shared" si="10"/>
        <v>100926000</v>
      </c>
      <c r="G112" s="2">
        <v>4596643000</v>
      </c>
      <c r="H112" s="2">
        <v>544978000</v>
      </c>
    </row>
    <row r="113" spans="1:8" x14ac:dyDescent="0.3">
      <c r="A113" s="1" t="s">
        <v>33</v>
      </c>
      <c r="B113" s="11">
        <v>2023</v>
      </c>
      <c r="C113" s="1" t="s">
        <v>45</v>
      </c>
      <c r="D113" s="2">
        <v>126000</v>
      </c>
      <c r="E113" s="2">
        <v>1021</v>
      </c>
      <c r="F113" s="2">
        <f t="shared" si="10"/>
        <v>128646000</v>
      </c>
      <c r="G113" s="2">
        <v>4596643000</v>
      </c>
      <c r="H113" s="2">
        <v>544978000</v>
      </c>
    </row>
    <row r="114" spans="1:8" x14ac:dyDescent="0.3">
      <c r="A114" s="1" t="s">
        <v>33</v>
      </c>
      <c r="B114" s="11">
        <v>2023</v>
      </c>
      <c r="C114" s="1" t="s">
        <v>46</v>
      </c>
      <c r="D114" s="2">
        <v>100000</v>
      </c>
      <c r="E114" s="2">
        <v>821</v>
      </c>
      <c r="F114" s="2">
        <f t="shared" si="10"/>
        <v>82100000</v>
      </c>
      <c r="G114" s="2">
        <v>4596643000</v>
      </c>
      <c r="H114" s="2">
        <v>544978000</v>
      </c>
    </row>
    <row r="115" spans="1:8" x14ac:dyDescent="0.3">
      <c r="A115" s="1" t="s">
        <v>33</v>
      </c>
      <c r="B115" s="11">
        <v>2023</v>
      </c>
      <c r="C115" s="1" t="s">
        <v>47</v>
      </c>
      <c r="D115" s="2">
        <v>472000</v>
      </c>
      <c r="E115" s="2">
        <v>124</v>
      </c>
      <c r="F115" s="2">
        <f t="shared" si="10"/>
        <v>58528000</v>
      </c>
      <c r="G115" s="2">
        <v>4596643000</v>
      </c>
      <c r="H115" s="2">
        <v>544978000</v>
      </c>
    </row>
    <row r="116" spans="1:8" x14ac:dyDescent="0.3">
      <c r="A116" s="1" t="s">
        <v>33</v>
      </c>
      <c r="B116" s="11">
        <v>2024</v>
      </c>
      <c r="C116" s="1" t="s">
        <v>34</v>
      </c>
      <c r="D116" s="2">
        <v>20000</v>
      </c>
      <c r="E116" s="2">
        <v>47246</v>
      </c>
      <c r="F116" s="2">
        <f>E116*D116</f>
        <v>944920000</v>
      </c>
      <c r="G116" s="2">
        <v>5511710000</v>
      </c>
      <c r="H116" s="2">
        <v>222297000</v>
      </c>
    </row>
    <row r="117" spans="1:8" x14ac:dyDescent="0.3">
      <c r="A117" s="1" t="s">
        <v>33</v>
      </c>
      <c r="B117" s="11">
        <v>2024</v>
      </c>
      <c r="C117" s="1" t="s">
        <v>35</v>
      </c>
      <c r="D117" s="2">
        <v>28200</v>
      </c>
      <c r="E117" s="2">
        <v>31790</v>
      </c>
      <c r="F117" s="2">
        <f t="shared" ref="F117:F133" si="11">E117*D117</f>
        <v>896478000</v>
      </c>
      <c r="G117" s="2">
        <v>5511710000</v>
      </c>
      <c r="H117" s="2">
        <v>222297000</v>
      </c>
    </row>
    <row r="118" spans="1:8" x14ac:dyDescent="0.3">
      <c r="A118" s="1" t="s">
        <v>33</v>
      </c>
      <c r="B118" s="11">
        <v>2024</v>
      </c>
      <c r="C118" s="1" t="s">
        <v>36</v>
      </c>
      <c r="D118" s="2">
        <v>930000</v>
      </c>
      <c r="E118" s="2">
        <v>563</v>
      </c>
      <c r="F118" s="2">
        <f t="shared" si="11"/>
        <v>523590000</v>
      </c>
      <c r="G118" s="2">
        <v>5511710000</v>
      </c>
      <c r="H118" s="2">
        <v>222297000</v>
      </c>
    </row>
    <row r="119" spans="1:8" x14ac:dyDescent="0.3">
      <c r="A119" s="1" t="s">
        <v>33</v>
      </c>
      <c r="B119" s="11">
        <v>2024</v>
      </c>
      <c r="C119" s="1" t="s">
        <v>37</v>
      </c>
      <c r="D119" s="2">
        <v>710000</v>
      </c>
      <c r="E119" s="2">
        <v>581</v>
      </c>
      <c r="F119" s="2">
        <f t="shared" si="11"/>
        <v>412510000</v>
      </c>
      <c r="G119" s="2">
        <v>5511710000</v>
      </c>
      <c r="H119" s="2">
        <v>222297000</v>
      </c>
    </row>
    <row r="120" spans="1:8" x14ac:dyDescent="0.3">
      <c r="A120" s="1" t="s">
        <v>33</v>
      </c>
      <c r="B120" s="11">
        <v>2024</v>
      </c>
      <c r="C120" s="1" t="s">
        <v>15</v>
      </c>
      <c r="D120" s="2">
        <v>11200</v>
      </c>
      <c r="E120" s="2">
        <v>31800</v>
      </c>
      <c r="F120" s="2">
        <f t="shared" si="11"/>
        <v>356160000</v>
      </c>
      <c r="G120" s="2">
        <v>5511710000</v>
      </c>
      <c r="H120" s="2">
        <v>222297000</v>
      </c>
    </row>
    <row r="121" spans="1:8" x14ac:dyDescent="0.3">
      <c r="A121" s="1" t="s">
        <v>33</v>
      </c>
      <c r="B121" s="11">
        <v>2024</v>
      </c>
      <c r="C121" s="1" t="s">
        <v>38</v>
      </c>
      <c r="D121" s="2">
        <v>35000</v>
      </c>
      <c r="E121" s="2">
        <v>9086</v>
      </c>
      <c r="F121" s="2">
        <f t="shared" si="11"/>
        <v>318010000</v>
      </c>
      <c r="G121" s="2">
        <v>5511710000</v>
      </c>
      <c r="H121" s="2">
        <v>222297000</v>
      </c>
    </row>
    <row r="122" spans="1:8" x14ac:dyDescent="0.3">
      <c r="A122" s="1" t="s">
        <v>33</v>
      </c>
      <c r="B122" s="11">
        <v>2024</v>
      </c>
      <c r="C122" s="1" t="s">
        <v>39</v>
      </c>
      <c r="D122" s="2">
        <v>13800</v>
      </c>
      <c r="E122" s="2">
        <v>21806</v>
      </c>
      <c r="F122" s="2">
        <f t="shared" si="11"/>
        <v>300922800</v>
      </c>
      <c r="G122" s="2">
        <v>5511710000</v>
      </c>
      <c r="H122" s="2">
        <v>222297000</v>
      </c>
    </row>
    <row r="123" spans="1:8" x14ac:dyDescent="0.3">
      <c r="A123" s="1" t="s">
        <v>33</v>
      </c>
      <c r="B123" s="11">
        <v>2024</v>
      </c>
      <c r="C123" s="1" t="s">
        <v>40</v>
      </c>
      <c r="D123" s="2">
        <v>1320000</v>
      </c>
      <c r="E123" s="2">
        <v>154</v>
      </c>
      <c r="F123" s="2">
        <f t="shared" si="11"/>
        <v>203280000</v>
      </c>
      <c r="G123" s="2">
        <v>5511710000</v>
      </c>
      <c r="H123" s="2">
        <v>222297000</v>
      </c>
    </row>
    <row r="124" spans="1:8" x14ac:dyDescent="0.3">
      <c r="A124" s="1" t="s">
        <v>33</v>
      </c>
      <c r="B124" s="11">
        <v>2024</v>
      </c>
      <c r="C124" s="1" t="s">
        <v>41</v>
      </c>
      <c r="D124" s="2">
        <v>198000</v>
      </c>
      <c r="E124" s="2">
        <v>1364</v>
      </c>
      <c r="F124" s="2">
        <f t="shared" si="11"/>
        <v>270072000</v>
      </c>
      <c r="G124" s="2">
        <v>5511710000</v>
      </c>
      <c r="H124" s="2">
        <v>222297000</v>
      </c>
    </row>
    <row r="125" spans="1:8" x14ac:dyDescent="0.3">
      <c r="A125" s="1" t="s">
        <v>33</v>
      </c>
      <c r="B125" s="11">
        <v>2024</v>
      </c>
      <c r="C125" s="1" t="s">
        <v>42</v>
      </c>
      <c r="D125" s="2">
        <v>9350</v>
      </c>
      <c r="E125" s="2">
        <v>25440</v>
      </c>
      <c r="F125" s="2">
        <f t="shared" si="11"/>
        <v>237864000</v>
      </c>
      <c r="G125" s="2">
        <v>5511710000</v>
      </c>
      <c r="H125" s="2">
        <v>222297000</v>
      </c>
    </row>
    <row r="126" spans="1:8" x14ac:dyDescent="0.3">
      <c r="A126" s="1" t="s">
        <v>33</v>
      </c>
      <c r="B126" s="11">
        <v>2024</v>
      </c>
      <c r="C126" s="1" t="s">
        <v>17</v>
      </c>
      <c r="D126" s="2">
        <v>8600</v>
      </c>
      <c r="E126" s="2">
        <v>22714</v>
      </c>
      <c r="F126" s="2">
        <f t="shared" si="11"/>
        <v>195340400</v>
      </c>
      <c r="G126" s="2">
        <v>5511710000</v>
      </c>
      <c r="H126" s="2">
        <v>222297000</v>
      </c>
    </row>
    <row r="127" spans="1:8" x14ac:dyDescent="0.3">
      <c r="A127" s="1" t="s">
        <v>33</v>
      </c>
      <c r="B127" s="11">
        <v>2024</v>
      </c>
      <c r="C127" s="1" t="s">
        <v>43</v>
      </c>
      <c r="D127" s="2">
        <v>14100</v>
      </c>
      <c r="E127" s="2">
        <v>12720</v>
      </c>
      <c r="F127" s="2">
        <f t="shared" si="11"/>
        <v>179352000</v>
      </c>
      <c r="G127" s="2">
        <v>5511710000</v>
      </c>
      <c r="H127" s="2">
        <v>222297000</v>
      </c>
    </row>
    <row r="128" spans="1:8" x14ac:dyDescent="0.3">
      <c r="A128" s="1" t="s">
        <v>33</v>
      </c>
      <c r="B128" s="11">
        <v>2024</v>
      </c>
      <c r="C128" s="1" t="s">
        <v>29</v>
      </c>
      <c r="D128" s="2">
        <v>10600</v>
      </c>
      <c r="E128" s="2">
        <v>14537</v>
      </c>
      <c r="F128" s="2">
        <f t="shared" si="11"/>
        <v>154092200</v>
      </c>
      <c r="G128" s="2">
        <v>5511710000</v>
      </c>
      <c r="H128" s="2">
        <v>222297000</v>
      </c>
    </row>
    <row r="129" spans="1:8" x14ac:dyDescent="0.3">
      <c r="A129" s="1" t="s">
        <v>33</v>
      </c>
      <c r="B129" s="11">
        <v>2024</v>
      </c>
      <c r="C129" s="1" t="s">
        <v>28</v>
      </c>
      <c r="D129" s="2">
        <v>7600</v>
      </c>
      <c r="E129" s="2">
        <v>19080</v>
      </c>
      <c r="F129" s="2">
        <f t="shared" si="11"/>
        <v>145008000</v>
      </c>
      <c r="G129" s="2">
        <v>5511710000</v>
      </c>
      <c r="H129" s="2">
        <v>222297000</v>
      </c>
    </row>
    <row r="130" spans="1:8" x14ac:dyDescent="0.3">
      <c r="A130" s="1" t="s">
        <v>33</v>
      </c>
      <c r="B130" s="11">
        <v>2024</v>
      </c>
      <c r="C130" s="1" t="s">
        <v>44</v>
      </c>
      <c r="D130" s="2">
        <v>93500</v>
      </c>
      <c r="E130" s="2">
        <v>1272</v>
      </c>
      <c r="F130" s="2">
        <f t="shared" si="11"/>
        <v>118932000</v>
      </c>
      <c r="G130" s="2">
        <v>5511710000</v>
      </c>
      <c r="H130" s="2">
        <v>222297000</v>
      </c>
    </row>
    <row r="131" spans="1:8" x14ac:dyDescent="0.3">
      <c r="A131" s="1" t="s">
        <v>33</v>
      </c>
      <c r="B131" s="11">
        <v>2024</v>
      </c>
      <c r="C131" s="1" t="s">
        <v>45</v>
      </c>
      <c r="D131" s="2">
        <v>132000</v>
      </c>
      <c r="E131" s="2">
        <v>772</v>
      </c>
      <c r="F131" s="2">
        <f t="shared" si="11"/>
        <v>101904000</v>
      </c>
      <c r="G131" s="2">
        <v>5511710000</v>
      </c>
      <c r="H131" s="2">
        <v>222297000</v>
      </c>
    </row>
    <row r="132" spans="1:8" x14ac:dyDescent="0.3">
      <c r="A132" s="1" t="s">
        <v>33</v>
      </c>
      <c r="B132" s="11">
        <v>2024</v>
      </c>
      <c r="C132" s="1" t="s">
        <v>46</v>
      </c>
      <c r="D132" s="2">
        <v>105000</v>
      </c>
      <c r="E132" s="2">
        <v>818</v>
      </c>
      <c r="F132" s="2">
        <f t="shared" si="11"/>
        <v>85890000</v>
      </c>
      <c r="G132" s="2">
        <v>5511710000</v>
      </c>
      <c r="H132" s="2">
        <v>222297000</v>
      </c>
    </row>
    <row r="133" spans="1:8" x14ac:dyDescent="0.3">
      <c r="A133" s="1" t="s">
        <v>33</v>
      </c>
      <c r="B133" s="11">
        <v>2024</v>
      </c>
      <c r="C133" s="1" t="s">
        <v>47</v>
      </c>
      <c r="D133" s="2">
        <v>495000</v>
      </c>
      <c r="E133" s="2">
        <v>136</v>
      </c>
      <c r="F133" s="2">
        <f t="shared" si="11"/>
        <v>67320000</v>
      </c>
      <c r="G133" s="2">
        <v>5511710000</v>
      </c>
      <c r="H133" s="2">
        <v>222297000</v>
      </c>
    </row>
    <row r="134" spans="1:8" x14ac:dyDescent="0.3">
      <c r="A134" s="1" t="s">
        <v>48</v>
      </c>
      <c r="B134" s="11">
        <v>2022</v>
      </c>
      <c r="C134" s="1" t="s">
        <v>49</v>
      </c>
      <c r="D134" s="2">
        <v>85000</v>
      </c>
      <c r="E134" s="2">
        <v>633695</v>
      </c>
      <c r="F134" s="2">
        <f>E134*D134</f>
        <v>53864075000</v>
      </c>
      <c r="G134" s="2">
        <v>183702186000</v>
      </c>
      <c r="H134" s="2">
        <v>57784864000</v>
      </c>
    </row>
    <row r="135" spans="1:8" x14ac:dyDescent="0.3">
      <c r="A135" s="1" t="s">
        <v>48</v>
      </c>
      <c r="B135" s="11">
        <v>2022</v>
      </c>
      <c r="C135" s="1" t="s">
        <v>50</v>
      </c>
      <c r="D135" s="2">
        <v>78000</v>
      </c>
      <c r="E135" s="2">
        <v>439623</v>
      </c>
      <c r="F135" s="2">
        <f t="shared" ref="F135:F145" si="12">E135*D135</f>
        <v>34290594000</v>
      </c>
      <c r="G135" s="2">
        <v>183702186000</v>
      </c>
      <c r="H135" s="2">
        <v>57784864000</v>
      </c>
    </row>
    <row r="136" spans="1:8" x14ac:dyDescent="0.3">
      <c r="A136" s="1" t="s">
        <v>48</v>
      </c>
      <c r="B136" s="11">
        <v>2022</v>
      </c>
      <c r="C136" s="1" t="s">
        <v>51</v>
      </c>
      <c r="D136" s="2">
        <v>65000</v>
      </c>
      <c r="E136" s="2">
        <v>371000</v>
      </c>
      <c r="F136" s="2">
        <f t="shared" si="12"/>
        <v>24115000000</v>
      </c>
      <c r="G136" s="2">
        <v>183702186000</v>
      </c>
      <c r="H136" s="2">
        <v>57784864000</v>
      </c>
    </row>
    <row r="137" spans="1:8" x14ac:dyDescent="0.3">
      <c r="A137" s="1" t="s">
        <v>48</v>
      </c>
      <c r="B137" s="11">
        <v>2022</v>
      </c>
      <c r="C137" s="1" t="s">
        <v>52</v>
      </c>
      <c r="D137" s="2">
        <v>55000</v>
      </c>
      <c r="E137" s="2">
        <v>214900</v>
      </c>
      <c r="F137" s="2">
        <f t="shared" si="12"/>
        <v>11819500000</v>
      </c>
      <c r="G137" s="2">
        <v>183702186000</v>
      </c>
      <c r="H137" s="2">
        <v>57784864000</v>
      </c>
    </row>
    <row r="138" spans="1:8" x14ac:dyDescent="0.3">
      <c r="A138" s="1" t="s">
        <v>48</v>
      </c>
      <c r="B138" s="11">
        <v>2022</v>
      </c>
      <c r="C138" s="1" t="s">
        <v>53</v>
      </c>
      <c r="D138" s="2">
        <v>70000</v>
      </c>
      <c r="E138" s="2">
        <v>146039</v>
      </c>
      <c r="F138" s="2">
        <f t="shared" si="12"/>
        <v>10222730000</v>
      </c>
      <c r="G138" s="2">
        <v>183702186000</v>
      </c>
      <c r="H138" s="2">
        <v>57784864000</v>
      </c>
    </row>
    <row r="139" spans="1:8" x14ac:dyDescent="0.3">
      <c r="A139" s="1" t="s">
        <v>48</v>
      </c>
      <c r="B139" s="11">
        <v>2022</v>
      </c>
      <c r="C139" s="1" t="s">
        <v>54</v>
      </c>
      <c r="D139" s="2">
        <v>35000</v>
      </c>
      <c r="E139" s="2">
        <v>273362</v>
      </c>
      <c r="F139" s="2">
        <f t="shared" si="12"/>
        <v>9567670000</v>
      </c>
      <c r="G139" s="2">
        <v>183702186000</v>
      </c>
      <c r="H139" s="2">
        <v>57784864000</v>
      </c>
    </row>
    <row r="140" spans="1:8" x14ac:dyDescent="0.3">
      <c r="A140" s="1" t="s">
        <v>48</v>
      </c>
      <c r="B140" s="11">
        <v>2022</v>
      </c>
      <c r="C140" s="1" t="s">
        <v>55</v>
      </c>
      <c r="D140" s="2">
        <v>95000</v>
      </c>
      <c r="E140" s="2">
        <v>87920</v>
      </c>
      <c r="F140" s="2">
        <f t="shared" si="12"/>
        <v>8352400000</v>
      </c>
      <c r="G140" s="2">
        <v>183702186000</v>
      </c>
      <c r="H140" s="2">
        <v>57784864000</v>
      </c>
    </row>
    <row r="141" spans="1:8" x14ac:dyDescent="0.3">
      <c r="A141" s="1" t="s">
        <v>48</v>
      </c>
      <c r="B141" s="11">
        <v>2022</v>
      </c>
      <c r="C141" s="1" t="s">
        <v>56</v>
      </c>
      <c r="D141" s="2">
        <v>60000</v>
      </c>
      <c r="E141" s="2">
        <v>127002</v>
      </c>
      <c r="F141" s="2">
        <f t="shared" si="12"/>
        <v>7620120000</v>
      </c>
      <c r="G141" s="2">
        <v>183702186000</v>
      </c>
      <c r="H141" s="2">
        <v>57784864000</v>
      </c>
    </row>
    <row r="142" spans="1:8" x14ac:dyDescent="0.3">
      <c r="A142" s="1" t="s">
        <v>48</v>
      </c>
      <c r="B142" s="11">
        <v>2022</v>
      </c>
      <c r="C142" s="1" t="s">
        <v>57</v>
      </c>
      <c r="D142" s="2">
        <v>110000</v>
      </c>
      <c r="E142" s="2">
        <v>63401</v>
      </c>
      <c r="F142" s="2">
        <f t="shared" si="12"/>
        <v>6974110000</v>
      </c>
      <c r="G142" s="2">
        <v>183702186000</v>
      </c>
      <c r="H142" s="2">
        <v>57784864000</v>
      </c>
    </row>
    <row r="143" spans="1:8" x14ac:dyDescent="0.3">
      <c r="A143" s="1" t="s">
        <v>48</v>
      </c>
      <c r="B143" s="11">
        <v>2022</v>
      </c>
      <c r="C143" s="1" t="s">
        <v>58</v>
      </c>
      <c r="D143" s="2">
        <v>82000</v>
      </c>
      <c r="E143" s="2">
        <v>78155</v>
      </c>
      <c r="F143" s="2">
        <f t="shared" si="12"/>
        <v>6408710000</v>
      </c>
      <c r="G143" s="2">
        <v>183702186000</v>
      </c>
      <c r="H143" s="2">
        <v>57784864000</v>
      </c>
    </row>
    <row r="144" spans="1:8" x14ac:dyDescent="0.3">
      <c r="A144" s="1" t="s">
        <v>48</v>
      </c>
      <c r="B144" s="11">
        <v>2022</v>
      </c>
      <c r="C144" s="1" t="s">
        <v>59</v>
      </c>
      <c r="D144" s="2">
        <v>68000</v>
      </c>
      <c r="E144" s="2">
        <v>83000</v>
      </c>
      <c r="F144" s="2">
        <f t="shared" si="12"/>
        <v>5644000000</v>
      </c>
      <c r="G144" s="2">
        <v>183702186000</v>
      </c>
      <c r="H144" s="2">
        <v>57784864000</v>
      </c>
    </row>
    <row r="145" spans="1:8" x14ac:dyDescent="0.3">
      <c r="A145" s="1" t="s">
        <v>48</v>
      </c>
      <c r="B145" s="11">
        <v>2022</v>
      </c>
      <c r="C145" s="1" t="s">
        <v>60</v>
      </c>
      <c r="D145" s="2">
        <v>45000</v>
      </c>
      <c r="E145" s="2">
        <v>107463</v>
      </c>
      <c r="F145" s="2">
        <f t="shared" si="12"/>
        <v>4835835000</v>
      </c>
      <c r="G145" s="2">
        <v>183702186000</v>
      </c>
      <c r="H145" s="2">
        <v>57784864000</v>
      </c>
    </row>
    <row r="146" spans="1:8" x14ac:dyDescent="0.3">
      <c r="A146" s="1" t="s">
        <v>48</v>
      </c>
      <c r="B146" s="11">
        <v>2023</v>
      </c>
      <c r="C146" s="1" t="s">
        <v>49</v>
      </c>
      <c r="D146" s="2">
        <v>86000</v>
      </c>
      <c r="E146" s="2">
        <v>628433</v>
      </c>
      <c r="F146" s="2">
        <f>E146*D146</f>
        <v>54045238000</v>
      </c>
      <c r="G146" s="2">
        <v>184932603000</v>
      </c>
      <c r="H146" s="2">
        <v>44345327000</v>
      </c>
    </row>
    <row r="147" spans="1:8" x14ac:dyDescent="0.3">
      <c r="A147" s="1" t="s">
        <v>48</v>
      </c>
      <c r="B147" s="11">
        <v>2023</v>
      </c>
      <c r="C147" s="1" t="s">
        <v>50</v>
      </c>
      <c r="D147" s="2">
        <v>79000</v>
      </c>
      <c r="E147" s="2">
        <v>433666</v>
      </c>
      <c r="F147" s="2">
        <f t="shared" ref="F147:F157" si="13">E147*D147</f>
        <v>34259614000</v>
      </c>
      <c r="G147" s="2">
        <v>184932603000</v>
      </c>
      <c r="H147" s="2">
        <v>44345327000</v>
      </c>
    </row>
    <row r="148" spans="1:8" x14ac:dyDescent="0.3">
      <c r="A148" s="1" t="s">
        <v>48</v>
      </c>
      <c r="B148" s="11">
        <v>2023</v>
      </c>
      <c r="C148" s="1" t="s">
        <v>51</v>
      </c>
      <c r="D148" s="2">
        <v>66000</v>
      </c>
      <c r="E148" s="2">
        <v>366506</v>
      </c>
      <c r="F148" s="2">
        <f t="shared" si="13"/>
        <v>24189396000</v>
      </c>
      <c r="G148" s="2">
        <v>184932603000</v>
      </c>
      <c r="H148" s="2">
        <v>44345327000</v>
      </c>
    </row>
    <row r="149" spans="1:8" x14ac:dyDescent="0.3">
      <c r="A149" s="1" t="s">
        <v>48</v>
      </c>
      <c r="B149" s="11">
        <v>2023</v>
      </c>
      <c r="C149" s="1" t="s">
        <v>52</v>
      </c>
      <c r="D149" s="2">
        <v>56000</v>
      </c>
      <c r="E149" s="2">
        <v>209158</v>
      </c>
      <c r="F149" s="2">
        <f t="shared" si="13"/>
        <v>11712848000</v>
      </c>
      <c r="G149" s="2">
        <v>184932603000</v>
      </c>
      <c r="H149" s="2">
        <v>44345327000</v>
      </c>
    </row>
    <row r="150" spans="1:8" x14ac:dyDescent="0.3">
      <c r="A150" s="1" t="s">
        <v>48</v>
      </c>
      <c r="B150" s="11">
        <v>2023</v>
      </c>
      <c r="C150" s="1" t="s">
        <v>53</v>
      </c>
      <c r="D150" s="2">
        <v>71000</v>
      </c>
      <c r="E150" s="2">
        <v>145835</v>
      </c>
      <c r="F150" s="2">
        <f t="shared" si="13"/>
        <v>10354285000</v>
      </c>
      <c r="G150" s="2">
        <v>184932603000</v>
      </c>
      <c r="H150" s="2">
        <v>44345327000</v>
      </c>
    </row>
    <row r="151" spans="1:8" x14ac:dyDescent="0.3">
      <c r="A151" s="1" t="s">
        <v>48</v>
      </c>
      <c r="B151" s="11">
        <v>2023</v>
      </c>
      <c r="C151" s="1" t="s">
        <v>54</v>
      </c>
      <c r="D151" s="2">
        <v>36000</v>
      </c>
      <c r="E151" s="2">
        <v>270562</v>
      </c>
      <c r="F151" s="2">
        <f t="shared" si="13"/>
        <v>9740232000</v>
      </c>
      <c r="G151" s="2">
        <v>184932603000</v>
      </c>
      <c r="H151" s="2">
        <v>44345327000</v>
      </c>
    </row>
    <row r="152" spans="1:8" x14ac:dyDescent="0.3">
      <c r="A152" s="1" t="s">
        <v>48</v>
      </c>
      <c r="B152" s="11">
        <v>2023</v>
      </c>
      <c r="C152" s="1" t="s">
        <v>55</v>
      </c>
      <c r="D152" s="2">
        <v>96000</v>
      </c>
      <c r="E152" s="2">
        <v>88268</v>
      </c>
      <c r="F152" s="2">
        <f t="shared" si="13"/>
        <v>8473728000</v>
      </c>
      <c r="G152" s="2">
        <v>184932603000</v>
      </c>
      <c r="H152" s="2">
        <v>44345327000</v>
      </c>
    </row>
    <row r="153" spans="1:8" x14ac:dyDescent="0.3">
      <c r="A153" s="1" t="s">
        <v>48</v>
      </c>
      <c r="B153" s="11">
        <v>2023</v>
      </c>
      <c r="C153" s="1" t="s">
        <v>56</v>
      </c>
      <c r="D153" s="2">
        <v>61000</v>
      </c>
      <c r="E153" s="2">
        <v>126646</v>
      </c>
      <c r="F153" s="2">
        <f t="shared" si="13"/>
        <v>7725406000</v>
      </c>
      <c r="G153" s="2">
        <v>184932603000</v>
      </c>
      <c r="H153" s="2">
        <v>44345327000</v>
      </c>
    </row>
    <row r="154" spans="1:8" x14ac:dyDescent="0.3">
      <c r="A154" s="1" t="s">
        <v>48</v>
      </c>
      <c r="B154" s="11">
        <v>2023</v>
      </c>
      <c r="C154" s="1" t="s">
        <v>57</v>
      </c>
      <c r="D154" s="2">
        <v>112000</v>
      </c>
      <c r="E154" s="2">
        <v>64282</v>
      </c>
      <c r="F154" s="2">
        <f t="shared" si="13"/>
        <v>7199584000</v>
      </c>
      <c r="G154" s="2">
        <v>184932603000</v>
      </c>
      <c r="H154" s="2">
        <v>44345327000</v>
      </c>
    </row>
    <row r="155" spans="1:8" x14ac:dyDescent="0.3">
      <c r="A155" s="1" t="s">
        <v>48</v>
      </c>
      <c r="B155" s="11">
        <v>2023</v>
      </c>
      <c r="C155" s="1" t="s">
        <v>58</v>
      </c>
      <c r="D155" s="2">
        <v>83000</v>
      </c>
      <c r="E155" s="2">
        <v>78674</v>
      </c>
      <c r="F155" s="2">
        <f t="shared" si="13"/>
        <v>6529942000</v>
      </c>
      <c r="G155" s="2">
        <v>184932603000</v>
      </c>
      <c r="H155" s="2">
        <v>44345327000</v>
      </c>
    </row>
    <row r="156" spans="1:8" x14ac:dyDescent="0.3">
      <c r="A156" s="1" t="s">
        <v>48</v>
      </c>
      <c r="B156" s="11">
        <v>2023</v>
      </c>
      <c r="C156" s="1" t="s">
        <v>59</v>
      </c>
      <c r="D156" s="2">
        <v>69000</v>
      </c>
      <c r="E156" s="2">
        <v>83471</v>
      </c>
      <c r="F156" s="2">
        <f t="shared" si="13"/>
        <v>5759499000</v>
      </c>
      <c r="G156" s="2">
        <v>184932603000</v>
      </c>
      <c r="H156" s="2">
        <v>44345327000</v>
      </c>
    </row>
    <row r="157" spans="1:8" x14ac:dyDescent="0.3">
      <c r="A157" s="1" t="s">
        <v>48</v>
      </c>
      <c r="B157" s="11">
        <v>2023</v>
      </c>
      <c r="C157" s="1" t="s">
        <v>60</v>
      </c>
      <c r="D157" s="2">
        <v>46000</v>
      </c>
      <c r="E157" s="2">
        <v>107457</v>
      </c>
      <c r="F157" s="2">
        <f t="shared" si="13"/>
        <v>4943022000</v>
      </c>
      <c r="G157" s="2">
        <v>184932603000</v>
      </c>
      <c r="H157" s="2">
        <v>44345327000</v>
      </c>
    </row>
    <row r="158" spans="1:8" x14ac:dyDescent="0.3">
      <c r="A158" s="1" t="s">
        <v>48</v>
      </c>
      <c r="B158" s="11">
        <v>2024</v>
      </c>
      <c r="C158" s="1" t="s">
        <v>49</v>
      </c>
      <c r="D158" s="2">
        <v>87000</v>
      </c>
      <c r="E158" s="2">
        <v>686333</v>
      </c>
      <c r="F158" s="2">
        <f>E158*D158</f>
        <v>59710971000</v>
      </c>
      <c r="G158" s="2">
        <v>207084881000</v>
      </c>
      <c r="H158" s="2">
        <v>48865950000</v>
      </c>
    </row>
    <row r="159" spans="1:8" x14ac:dyDescent="0.3">
      <c r="A159" s="1" t="s">
        <v>48</v>
      </c>
      <c r="B159" s="11">
        <v>2024</v>
      </c>
      <c r="C159" s="1" t="s">
        <v>50</v>
      </c>
      <c r="D159" s="2">
        <v>81000</v>
      </c>
      <c r="E159" s="2">
        <v>476620</v>
      </c>
      <c r="F159" s="2">
        <f t="shared" ref="F159:F169" si="14">E159*D159</f>
        <v>38606220000</v>
      </c>
      <c r="G159" s="2">
        <v>207084881000</v>
      </c>
      <c r="H159" s="2">
        <v>48865950000</v>
      </c>
    </row>
    <row r="160" spans="1:8" x14ac:dyDescent="0.3">
      <c r="A160" s="1" t="s">
        <v>48</v>
      </c>
      <c r="B160" s="11">
        <v>2024</v>
      </c>
      <c r="C160" s="1" t="s">
        <v>51</v>
      </c>
      <c r="D160" s="2">
        <v>67500</v>
      </c>
      <c r="E160" s="2">
        <v>400391</v>
      </c>
      <c r="F160" s="2">
        <f t="shared" si="14"/>
        <v>27026392500</v>
      </c>
      <c r="G160" s="2">
        <v>207084881000</v>
      </c>
      <c r="H160" s="2">
        <v>48865950000</v>
      </c>
    </row>
    <row r="161" spans="1:8" x14ac:dyDescent="0.3">
      <c r="A161" s="1" t="s">
        <v>48</v>
      </c>
      <c r="B161" s="11">
        <v>2024</v>
      </c>
      <c r="C161" s="1" t="s">
        <v>52</v>
      </c>
      <c r="D161" s="2">
        <v>58000</v>
      </c>
      <c r="E161" s="2">
        <v>228778</v>
      </c>
      <c r="F161" s="2">
        <f t="shared" si="14"/>
        <v>13269124000</v>
      </c>
      <c r="G161" s="2">
        <v>207084881000</v>
      </c>
      <c r="H161" s="2">
        <v>48865950000</v>
      </c>
    </row>
    <row r="162" spans="1:8" x14ac:dyDescent="0.3">
      <c r="A162" s="1" t="s">
        <v>48</v>
      </c>
      <c r="B162" s="11">
        <v>2024</v>
      </c>
      <c r="C162" s="1" t="s">
        <v>53</v>
      </c>
      <c r="D162" s="2">
        <v>72500</v>
      </c>
      <c r="E162" s="2">
        <v>162081</v>
      </c>
      <c r="F162" s="2">
        <f t="shared" si="14"/>
        <v>11750872500</v>
      </c>
      <c r="G162" s="2">
        <v>207084881000</v>
      </c>
      <c r="H162" s="2">
        <v>48865950000</v>
      </c>
    </row>
    <row r="163" spans="1:8" x14ac:dyDescent="0.3">
      <c r="A163" s="1" t="s">
        <v>48</v>
      </c>
      <c r="B163" s="11">
        <v>2024</v>
      </c>
      <c r="C163" s="1" t="s">
        <v>54</v>
      </c>
      <c r="D163" s="2">
        <v>38000</v>
      </c>
      <c r="E163" s="2">
        <v>295504</v>
      </c>
      <c r="F163" s="2">
        <f t="shared" si="14"/>
        <v>11229152000</v>
      </c>
      <c r="G163" s="2">
        <v>207084881000</v>
      </c>
      <c r="H163" s="2">
        <v>48865950000</v>
      </c>
    </row>
    <row r="164" spans="1:8" x14ac:dyDescent="0.3">
      <c r="A164" s="1" t="s">
        <v>48</v>
      </c>
      <c r="B164" s="11">
        <v>2024</v>
      </c>
      <c r="C164" s="1" t="s">
        <v>55</v>
      </c>
      <c r="D164" s="2">
        <v>98000</v>
      </c>
      <c r="E164" s="2">
        <v>95320</v>
      </c>
      <c r="F164" s="2">
        <f t="shared" si="14"/>
        <v>9341360000</v>
      </c>
      <c r="G164" s="2">
        <v>207084881000</v>
      </c>
      <c r="H164" s="2">
        <v>48865950000</v>
      </c>
    </row>
    <row r="165" spans="1:8" x14ac:dyDescent="0.3">
      <c r="A165" s="1" t="s">
        <v>48</v>
      </c>
      <c r="B165" s="11">
        <v>2024</v>
      </c>
      <c r="C165" s="1" t="s">
        <v>56</v>
      </c>
      <c r="D165" s="2">
        <v>63000</v>
      </c>
      <c r="E165" s="2">
        <v>138220</v>
      </c>
      <c r="F165" s="2">
        <f t="shared" si="14"/>
        <v>8707860000</v>
      </c>
      <c r="G165" s="2">
        <v>207084881000</v>
      </c>
      <c r="H165" s="2">
        <v>48865950000</v>
      </c>
    </row>
    <row r="166" spans="1:8" x14ac:dyDescent="0.3">
      <c r="A166" s="1" t="s">
        <v>48</v>
      </c>
      <c r="B166" s="11">
        <v>2024</v>
      </c>
      <c r="C166" s="1" t="s">
        <v>57</v>
      </c>
      <c r="D166" s="2">
        <v>115000</v>
      </c>
      <c r="E166" s="2">
        <v>71499</v>
      </c>
      <c r="F166" s="2">
        <f t="shared" si="14"/>
        <v>8222385000</v>
      </c>
      <c r="G166" s="2">
        <v>207084881000</v>
      </c>
      <c r="H166" s="2">
        <v>48865950000</v>
      </c>
    </row>
    <row r="167" spans="1:8" x14ac:dyDescent="0.3">
      <c r="A167" s="1" t="s">
        <v>48</v>
      </c>
      <c r="B167" s="11">
        <v>2024</v>
      </c>
      <c r="C167" s="1" t="s">
        <v>58</v>
      </c>
      <c r="D167" s="2">
        <v>85000</v>
      </c>
      <c r="E167" s="2">
        <v>85800</v>
      </c>
      <c r="F167" s="2">
        <f t="shared" si="14"/>
        <v>7293000000</v>
      </c>
      <c r="G167" s="2">
        <v>207084881000</v>
      </c>
      <c r="H167" s="2">
        <v>48865950000</v>
      </c>
    </row>
    <row r="168" spans="1:8" x14ac:dyDescent="0.3">
      <c r="A168" s="1" t="s">
        <v>48</v>
      </c>
      <c r="B168" s="11">
        <v>2024</v>
      </c>
      <c r="C168" s="1" t="s">
        <v>59</v>
      </c>
      <c r="D168" s="2">
        <v>71000</v>
      </c>
      <c r="E168" s="2">
        <v>90658</v>
      </c>
      <c r="F168" s="2">
        <f t="shared" si="14"/>
        <v>6436718000</v>
      </c>
      <c r="G168" s="2">
        <v>207084881000</v>
      </c>
      <c r="H168" s="2">
        <v>48865950000</v>
      </c>
    </row>
    <row r="169" spans="1:8" x14ac:dyDescent="0.3">
      <c r="A169" s="1" t="s">
        <v>48</v>
      </c>
      <c r="B169" s="11">
        <v>2024</v>
      </c>
      <c r="C169" s="1" t="s">
        <v>60</v>
      </c>
      <c r="D169" s="2">
        <v>48000</v>
      </c>
      <c r="E169" s="2">
        <v>114389</v>
      </c>
      <c r="F169" s="2">
        <f t="shared" si="14"/>
        <v>5490672000</v>
      </c>
      <c r="G169" s="2">
        <v>207084881000</v>
      </c>
      <c r="H169" s="2">
        <v>48865950000</v>
      </c>
    </row>
    <row r="170" spans="1:8" x14ac:dyDescent="0.3">
      <c r="A170" s="1" t="s">
        <v>61</v>
      </c>
      <c r="B170" s="11">
        <v>2022</v>
      </c>
      <c r="C170" s="1" t="s">
        <v>62</v>
      </c>
      <c r="D170" s="2">
        <v>29000</v>
      </c>
      <c r="E170" s="2">
        <v>9723</v>
      </c>
      <c r="F170" s="2">
        <f>E170*D170</f>
        <v>281967000</v>
      </c>
      <c r="G170" s="2">
        <v>4229891000</v>
      </c>
      <c r="H170" s="2">
        <v>226651000</v>
      </c>
    </row>
    <row r="171" spans="1:8" x14ac:dyDescent="0.3">
      <c r="A171" s="1" t="s">
        <v>61</v>
      </c>
      <c r="B171" s="11">
        <v>2022</v>
      </c>
      <c r="C171" s="1" t="s">
        <v>63</v>
      </c>
      <c r="D171" s="2">
        <v>31000</v>
      </c>
      <c r="E171" s="2">
        <v>9096</v>
      </c>
      <c r="F171" s="2">
        <f t="shared" ref="F171:F214" si="15">E171*D171</f>
        <v>281976000</v>
      </c>
      <c r="G171" s="2">
        <v>4229891000</v>
      </c>
      <c r="H171" s="2">
        <v>226651000</v>
      </c>
    </row>
    <row r="172" spans="1:8" x14ac:dyDescent="0.3">
      <c r="A172" s="1" t="s">
        <v>61</v>
      </c>
      <c r="B172" s="11">
        <v>2022</v>
      </c>
      <c r="C172" s="1" t="s">
        <v>64</v>
      </c>
      <c r="D172" s="2">
        <v>31000</v>
      </c>
      <c r="E172" s="2">
        <v>9096</v>
      </c>
      <c r="F172" s="2">
        <f t="shared" si="15"/>
        <v>281976000</v>
      </c>
      <c r="G172" s="2">
        <v>4229891000</v>
      </c>
      <c r="H172" s="2">
        <v>226651000</v>
      </c>
    </row>
    <row r="173" spans="1:8" x14ac:dyDescent="0.3">
      <c r="A173" s="1" t="s">
        <v>61</v>
      </c>
      <c r="B173" s="11">
        <v>2022</v>
      </c>
      <c r="C173" s="1" t="s">
        <v>65</v>
      </c>
      <c r="D173" s="2">
        <v>32000</v>
      </c>
      <c r="E173" s="2">
        <v>8812</v>
      </c>
      <c r="F173" s="2">
        <f t="shared" si="15"/>
        <v>281984000</v>
      </c>
      <c r="G173" s="2">
        <v>4229891000</v>
      </c>
      <c r="H173" s="2">
        <v>226651000</v>
      </c>
    </row>
    <row r="174" spans="1:8" x14ac:dyDescent="0.3">
      <c r="A174" s="1" t="s">
        <v>61</v>
      </c>
      <c r="B174" s="11">
        <v>2022</v>
      </c>
      <c r="C174" s="1" t="s">
        <v>66</v>
      </c>
      <c r="D174" s="2">
        <v>32000</v>
      </c>
      <c r="E174" s="2">
        <v>8812</v>
      </c>
      <c r="F174" s="2">
        <f t="shared" si="15"/>
        <v>281984000</v>
      </c>
      <c r="G174" s="2">
        <v>4229891000</v>
      </c>
      <c r="H174" s="2">
        <v>226651000</v>
      </c>
    </row>
    <row r="175" spans="1:8" x14ac:dyDescent="0.3">
      <c r="A175" s="1" t="s">
        <v>61</v>
      </c>
      <c r="B175" s="11">
        <v>2022</v>
      </c>
      <c r="C175" s="1" t="s">
        <v>67</v>
      </c>
      <c r="D175" s="2">
        <v>29000</v>
      </c>
      <c r="E175" s="2">
        <v>9723</v>
      </c>
      <c r="F175" s="2">
        <f t="shared" si="15"/>
        <v>281967000</v>
      </c>
      <c r="G175" s="2">
        <v>4229891000</v>
      </c>
      <c r="H175" s="2">
        <v>226651000</v>
      </c>
    </row>
    <row r="176" spans="1:8" x14ac:dyDescent="0.3">
      <c r="A176" s="1" t="s">
        <v>61</v>
      </c>
      <c r="B176" s="11">
        <v>2022</v>
      </c>
      <c r="C176" s="1" t="s">
        <v>68</v>
      </c>
      <c r="D176" s="2">
        <v>29000</v>
      </c>
      <c r="E176" s="2">
        <v>9723</v>
      </c>
      <c r="F176" s="2">
        <f t="shared" si="15"/>
        <v>281967000</v>
      </c>
      <c r="G176" s="2">
        <v>4229891000</v>
      </c>
      <c r="H176" s="2">
        <v>226651000</v>
      </c>
    </row>
    <row r="177" spans="1:8" x14ac:dyDescent="0.3">
      <c r="A177" s="1" t="s">
        <v>61</v>
      </c>
      <c r="B177" s="11">
        <v>2022</v>
      </c>
      <c r="C177" s="1" t="s">
        <v>69</v>
      </c>
      <c r="D177" s="2">
        <v>32000</v>
      </c>
      <c r="E177" s="2">
        <v>8812</v>
      </c>
      <c r="F177" s="2">
        <f t="shared" si="15"/>
        <v>281984000</v>
      </c>
      <c r="G177" s="2">
        <v>4229891000</v>
      </c>
      <c r="H177" s="2">
        <v>226651000</v>
      </c>
    </row>
    <row r="178" spans="1:8" x14ac:dyDescent="0.3">
      <c r="A178" s="1" t="s">
        <v>61</v>
      </c>
      <c r="B178" s="11">
        <v>2022</v>
      </c>
      <c r="C178" s="1" t="s">
        <v>70</v>
      </c>
      <c r="D178" s="2">
        <v>33000</v>
      </c>
      <c r="E178" s="2">
        <v>8545</v>
      </c>
      <c r="F178" s="2">
        <f>E178*D178</f>
        <v>281985000</v>
      </c>
      <c r="G178" s="2">
        <v>4229891000</v>
      </c>
      <c r="H178" s="2">
        <v>226651000</v>
      </c>
    </row>
    <row r="179" spans="1:8" x14ac:dyDescent="0.3">
      <c r="A179" s="1" t="s">
        <v>61</v>
      </c>
      <c r="B179" s="11">
        <v>2022</v>
      </c>
      <c r="C179" s="1" t="s">
        <v>71</v>
      </c>
      <c r="D179" s="2">
        <v>35000</v>
      </c>
      <c r="E179" s="2">
        <v>8056</v>
      </c>
      <c r="F179" s="2">
        <f t="shared" si="15"/>
        <v>281960000</v>
      </c>
      <c r="G179" s="2">
        <v>4229891000</v>
      </c>
      <c r="H179" s="2">
        <v>226651000</v>
      </c>
    </row>
    <row r="180" spans="1:8" x14ac:dyDescent="0.3">
      <c r="A180" s="1" t="s">
        <v>61</v>
      </c>
      <c r="B180" s="11">
        <v>2022</v>
      </c>
      <c r="C180" s="1" t="s">
        <v>72</v>
      </c>
      <c r="D180" s="2">
        <v>35000</v>
      </c>
      <c r="E180" s="2">
        <v>8056</v>
      </c>
      <c r="F180" s="2">
        <f t="shared" si="15"/>
        <v>281960000</v>
      </c>
      <c r="G180" s="2">
        <v>4229891000</v>
      </c>
      <c r="H180" s="2">
        <v>226651000</v>
      </c>
    </row>
    <row r="181" spans="1:8" x14ac:dyDescent="0.3">
      <c r="A181" s="1" t="s">
        <v>61</v>
      </c>
      <c r="B181" s="11">
        <v>2022</v>
      </c>
      <c r="C181" s="1" t="s">
        <v>73</v>
      </c>
      <c r="D181" s="2">
        <v>35000</v>
      </c>
      <c r="E181" s="2">
        <v>8056</v>
      </c>
      <c r="F181" s="2">
        <f t="shared" si="15"/>
        <v>281960000</v>
      </c>
      <c r="G181" s="2">
        <v>4229891000</v>
      </c>
      <c r="H181" s="2">
        <v>226651000</v>
      </c>
    </row>
    <row r="182" spans="1:8" x14ac:dyDescent="0.3">
      <c r="A182" s="1" t="s">
        <v>61</v>
      </c>
      <c r="B182" s="11">
        <v>2022</v>
      </c>
      <c r="C182" s="1" t="s">
        <v>74</v>
      </c>
      <c r="D182" s="2">
        <v>26000</v>
      </c>
      <c r="E182" s="2">
        <v>10845</v>
      </c>
      <c r="F182" s="2">
        <f t="shared" si="15"/>
        <v>281970000</v>
      </c>
      <c r="G182" s="2">
        <v>4229891000</v>
      </c>
      <c r="H182" s="2">
        <v>226651000</v>
      </c>
    </row>
    <row r="183" spans="1:8" x14ac:dyDescent="0.3">
      <c r="A183" s="1" t="s">
        <v>61</v>
      </c>
      <c r="B183" s="11">
        <v>2022</v>
      </c>
      <c r="C183" s="1" t="s">
        <v>75</v>
      </c>
      <c r="D183" s="2">
        <v>36000</v>
      </c>
      <c r="E183" s="2">
        <v>7833</v>
      </c>
      <c r="F183" s="2">
        <f t="shared" si="15"/>
        <v>281988000</v>
      </c>
      <c r="G183" s="2">
        <v>4229891000</v>
      </c>
      <c r="H183" s="2">
        <v>226651000</v>
      </c>
    </row>
    <row r="184" spans="1:8" x14ac:dyDescent="0.3">
      <c r="A184" s="1" t="s">
        <v>61</v>
      </c>
      <c r="B184" s="11">
        <v>2022</v>
      </c>
      <c r="C184" s="1" t="s">
        <v>76</v>
      </c>
      <c r="D184" s="2">
        <v>32000</v>
      </c>
      <c r="E184" s="2">
        <v>8812</v>
      </c>
      <c r="F184" s="2">
        <f t="shared" si="15"/>
        <v>281984000</v>
      </c>
      <c r="G184" s="2">
        <v>4229891000</v>
      </c>
      <c r="H184" s="2">
        <v>226651000</v>
      </c>
    </row>
    <row r="185" spans="1:8" x14ac:dyDescent="0.3">
      <c r="A185" s="1" t="s">
        <v>61</v>
      </c>
      <c r="B185" s="11">
        <v>2023</v>
      </c>
      <c r="C185" s="1" t="s">
        <v>62</v>
      </c>
      <c r="D185" s="2">
        <v>29000</v>
      </c>
      <c r="E185" s="2">
        <v>6479</v>
      </c>
      <c r="F185" s="2">
        <f t="shared" si="15"/>
        <v>187891000</v>
      </c>
      <c r="G185" s="2">
        <v>2818701000</v>
      </c>
      <c r="H185" s="2">
        <v>705874000</v>
      </c>
    </row>
    <row r="186" spans="1:8" x14ac:dyDescent="0.3">
      <c r="A186" s="1" t="s">
        <v>61</v>
      </c>
      <c r="B186" s="11">
        <v>2023</v>
      </c>
      <c r="C186" s="1" t="s">
        <v>63</v>
      </c>
      <c r="D186" s="2">
        <v>31000</v>
      </c>
      <c r="E186" s="2">
        <v>6061</v>
      </c>
      <c r="F186" s="2">
        <f t="shared" si="15"/>
        <v>187891000</v>
      </c>
      <c r="G186" s="2">
        <v>2818701000</v>
      </c>
      <c r="H186" s="2">
        <v>705874000</v>
      </c>
    </row>
    <row r="187" spans="1:8" x14ac:dyDescent="0.3">
      <c r="A187" s="1" t="s">
        <v>61</v>
      </c>
      <c r="B187" s="11">
        <v>2023</v>
      </c>
      <c r="C187" s="1" t="s">
        <v>64</v>
      </c>
      <c r="D187" s="2">
        <v>31000</v>
      </c>
      <c r="E187" s="2">
        <v>6061</v>
      </c>
      <c r="F187" s="2">
        <f t="shared" si="15"/>
        <v>187891000</v>
      </c>
      <c r="G187" s="2">
        <v>2818701000</v>
      </c>
      <c r="H187" s="2">
        <v>705874000</v>
      </c>
    </row>
    <row r="188" spans="1:8" x14ac:dyDescent="0.3">
      <c r="A188" s="1" t="s">
        <v>61</v>
      </c>
      <c r="B188" s="11">
        <v>2023</v>
      </c>
      <c r="C188" s="1" t="s">
        <v>65</v>
      </c>
      <c r="D188" s="2">
        <v>32000</v>
      </c>
      <c r="E188" s="2">
        <v>5872</v>
      </c>
      <c r="F188" s="2">
        <f t="shared" si="15"/>
        <v>187904000</v>
      </c>
      <c r="G188" s="2">
        <v>2818701000</v>
      </c>
      <c r="H188" s="2">
        <v>705874000</v>
      </c>
    </row>
    <row r="189" spans="1:8" x14ac:dyDescent="0.3">
      <c r="A189" s="1" t="s">
        <v>61</v>
      </c>
      <c r="B189" s="11">
        <v>2023</v>
      </c>
      <c r="C189" s="1" t="s">
        <v>66</v>
      </c>
      <c r="D189" s="2">
        <v>32000</v>
      </c>
      <c r="E189" s="2">
        <v>5872</v>
      </c>
      <c r="F189" s="2">
        <f t="shared" si="15"/>
        <v>187904000</v>
      </c>
      <c r="G189" s="2">
        <v>2818701000</v>
      </c>
      <c r="H189" s="2">
        <v>705874000</v>
      </c>
    </row>
    <row r="190" spans="1:8" x14ac:dyDescent="0.3">
      <c r="A190" s="1" t="s">
        <v>61</v>
      </c>
      <c r="B190" s="11">
        <v>2023</v>
      </c>
      <c r="C190" s="1" t="s">
        <v>67</v>
      </c>
      <c r="D190" s="2">
        <v>29000</v>
      </c>
      <c r="E190" s="2">
        <v>6479</v>
      </c>
      <c r="F190" s="2">
        <f t="shared" si="15"/>
        <v>187891000</v>
      </c>
      <c r="G190" s="2">
        <v>2818701000</v>
      </c>
      <c r="H190" s="2">
        <v>705874000</v>
      </c>
    </row>
    <row r="191" spans="1:8" x14ac:dyDescent="0.3">
      <c r="A191" s="1" t="s">
        <v>61</v>
      </c>
      <c r="B191" s="11">
        <v>2023</v>
      </c>
      <c r="C191" s="1" t="s">
        <v>68</v>
      </c>
      <c r="D191" s="2">
        <v>29000</v>
      </c>
      <c r="E191" s="2">
        <v>6479</v>
      </c>
      <c r="F191" s="2">
        <f t="shared" si="15"/>
        <v>187891000</v>
      </c>
      <c r="G191" s="2">
        <v>2818701000</v>
      </c>
      <c r="H191" s="2">
        <v>705874000</v>
      </c>
    </row>
    <row r="192" spans="1:8" x14ac:dyDescent="0.3">
      <c r="A192" s="1" t="s">
        <v>61</v>
      </c>
      <c r="B192" s="11">
        <v>2023</v>
      </c>
      <c r="C192" s="1" t="s">
        <v>69</v>
      </c>
      <c r="D192" s="2">
        <v>32000</v>
      </c>
      <c r="E192" s="2">
        <v>5872</v>
      </c>
      <c r="F192" s="2">
        <f t="shared" si="15"/>
        <v>187904000</v>
      </c>
      <c r="G192" s="2">
        <v>2818701000</v>
      </c>
      <c r="H192" s="2">
        <v>705874000</v>
      </c>
    </row>
    <row r="193" spans="1:8" x14ac:dyDescent="0.3">
      <c r="A193" s="1" t="s">
        <v>61</v>
      </c>
      <c r="B193" s="11">
        <v>2023</v>
      </c>
      <c r="C193" s="1" t="s">
        <v>70</v>
      </c>
      <c r="D193" s="2">
        <v>33000</v>
      </c>
      <c r="E193" s="2">
        <v>5694</v>
      </c>
      <c r="F193" s="2">
        <f t="shared" si="15"/>
        <v>187902000</v>
      </c>
      <c r="G193" s="2">
        <v>2818701000</v>
      </c>
      <c r="H193" s="2">
        <v>705874000</v>
      </c>
    </row>
    <row r="194" spans="1:8" x14ac:dyDescent="0.3">
      <c r="A194" s="1" t="s">
        <v>61</v>
      </c>
      <c r="B194" s="11">
        <v>2023</v>
      </c>
      <c r="C194" s="1" t="s">
        <v>71</v>
      </c>
      <c r="D194" s="2">
        <v>35000</v>
      </c>
      <c r="E194" s="2">
        <v>5368</v>
      </c>
      <c r="F194" s="2">
        <f t="shared" si="15"/>
        <v>187880000</v>
      </c>
      <c r="G194" s="2">
        <v>2818701000</v>
      </c>
      <c r="H194" s="2">
        <v>705874000</v>
      </c>
    </row>
    <row r="195" spans="1:8" x14ac:dyDescent="0.3">
      <c r="A195" s="1" t="s">
        <v>61</v>
      </c>
      <c r="B195" s="11">
        <v>2023</v>
      </c>
      <c r="C195" s="1" t="s">
        <v>72</v>
      </c>
      <c r="D195" s="2">
        <v>35000</v>
      </c>
      <c r="E195" s="2">
        <v>5368</v>
      </c>
      <c r="F195" s="2">
        <f t="shared" si="15"/>
        <v>187880000</v>
      </c>
      <c r="G195" s="2">
        <v>2818701000</v>
      </c>
      <c r="H195" s="2">
        <v>705874000</v>
      </c>
    </row>
    <row r="196" spans="1:8" x14ac:dyDescent="0.3">
      <c r="A196" s="1" t="s">
        <v>61</v>
      </c>
      <c r="B196" s="11">
        <v>2023</v>
      </c>
      <c r="C196" s="1" t="s">
        <v>73</v>
      </c>
      <c r="D196" s="2">
        <v>35000</v>
      </c>
      <c r="E196" s="2">
        <v>5368</v>
      </c>
      <c r="F196" s="2">
        <f t="shared" si="15"/>
        <v>187880000</v>
      </c>
      <c r="G196" s="2">
        <v>2818701000</v>
      </c>
      <c r="H196" s="2">
        <v>705874000</v>
      </c>
    </row>
    <row r="197" spans="1:8" x14ac:dyDescent="0.3">
      <c r="A197" s="1" t="s">
        <v>61</v>
      </c>
      <c r="B197" s="11">
        <v>2023</v>
      </c>
      <c r="C197" s="1" t="s">
        <v>74</v>
      </c>
      <c r="D197" s="2">
        <v>26000</v>
      </c>
      <c r="E197" s="2">
        <v>7227</v>
      </c>
      <c r="F197" s="2">
        <f t="shared" si="15"/>
        <v>187902000</v>
      </c>
      <c r="G197" s="2">
        <v>2818701000</v>
      </c>
      <c r="H197" s="2">
        <v>705874000</v>
      </c>
    </row>
    <row r="198" spans="1:8" x14ac:dyDescent="0.3">
      <c r="A198" s="1" t="s">
        <v>61</v>
      </c>
      <c r="B198" s="11">
        <v>2023</v>
      </c>
      <c r="C198" s="1" t="s">
        <v>75</v>
      </c>
      <c r="D198" s="2">
        <v>36000</v>
      </c>
      <c r="E198" s="2">
        <v>5219</v>
      </c>
      <c r="F198" s="2">
        <f t="shared" si="15"/>
        <v>187884000</v>
      </c>
      <c r="G198" s="2">
        <v>2818701000</v>
      </c>
      <c r="H198" s="2">
        <v>705874000</v>
      </c>
    </row>
    <row r="199" spans="1:8" x14ac:dyDescent="0.3">
      <c r="A199" s="1" t="s">
        <v>61</v>
      </c>
      <c r="B199" s="11">
        <v>2023</v>
      </c>
      <c r="C199" s="1" t="s">
        <v>76</v>
      </c>
      <c r="D199" s="2">
        <v>32000</v>
      </c>
      <c r="E199" s="2">
        <v>5872</v>
      </c>
      <c r="F199" s="2">
        <f t="shared" si="15"/>
        <v>187904000</v>
      </c>
      <c r="G199" s="2">
        <v>2818701000</v>
      </c>
      <c r="H199" s="2">
        <v>705874000</v>
      </c>
    </row>
    <row r="200" spans="1:8" x14ac:dyDescent="0.3">
      <c r="A200" s="1" t="s">
        <v>61</v>
      </c>
      <c r="B200" s="11">
        <v>2024</v>
      </c>
      <c r="C200" s="1" t="s">
        <v>62</v>
      </c>
      <c r="D200" s="2">
        <v>29000</v>
      </c>
      <c r="E200" s="2">
        <v>4829</v>
      </c>
      <c r="F200" s="2">
        <f t="shared" si="15"/>
        <v>140041000</v>
      </c>
      <c r="G200" s="2">
        <v>2100768000</v>
      </c>
      <c r="H200" s="2">
        <v>490208000</v>
      </c>
    </row>
    <row r="201" spans="1:8" x14ac:dyDescent="0.3">
      <c r="A201" s="1" t="s">
        <v>61</v>
      </c>
      <c r="B201" s="11">
        <v>2024</v>
      </c>
      <c r="C201" s="1" t="s">
        <v>63</v>
      </c>
      <c r="D201" s="2">
        <v>31000</v>
      </c>
      <c r="E201" s="2">
        <v>4517</v>
      </c>
      <c r="F201" s="2">
        <f t="shared" si="15"/>
        <v>140027000</v>
      </c>
      <c r="G201" s="2">
        <v>2100768000</v>
      </c>
      <c r="H201" s="2">
        <v>490208000</v>
      </c>
    </row>
    <row r="202" spans="1:8" x14ac:dyDescent="0.3">
      <c r="A202" s="1" t="s">
        <v>61</v>
      </c>
      <c r="B202" s="11">
        <v>2024</v>
      </c>
      <c r="C202" s="1" t="s">
        <v>64</v>
      </c>
      <c r="D202" s="2">
        <v>31000</v>
      </c>
      <c r="E202" s="2">
        <v>4517</v>
      </c>
      <c r="F202" s="2">
        <f t="shared" si="15"/>
        <v>140027000</v>
      </c>
      <c r="G202" s="2">
        <v>2100768000</v>
      </c>
      <c r="H202" s="2">
        <v>490208000</v>
      </c>
    </row>
    <row r="203" spans="1:8" x14ac:dyDescent="0.3">
      <c r="A203" s="1" t="s">
        <v>61</v>
      </c>
      <c r="B203" s="11">
        <v>2024</v>
      </c>
      <c r="C203" s="1" t="s">
        <v>65</v>
      </c>
      <c r="D203" s="2">
        <v>32000</v>
      </c>
      <c r="E203" s="2">
        <v>4376</v>
      </c>
      <c r="F203" s="2">
        <f t="shared" si="15"/>
        <v>140032000</v>
      </c>
      <c r="G203" s="2">
        <v>2100768000</v>
      </c>
      <c r="H203" s="2">
        <v>490208000</v>
      </c>
    </row>
    <row r="204" spans="1:8" x14ac:dyDescent="0.3">
      <c r="A204" s="1" t="s">
        <v>61</v>
      </c>
      <c r="B204" s="11">
        <v>2024</v>
      </c>
      <c r="C204" s="1" t="s">
        <v>66</v>
      </c>
      <c r="D204" s="2">
        <v>32000</v>
      </c>
      <c r="E204" s="2">
        <v>4376</v>
      </c>
      <c r="F204" s="2">
        <f t="shared" si="15"/>
        <v>140032000</v>
      </c>
      <c r="G204" s="2">
        <v>2100768000</v>
      </c>
      <c r="H204" s="2">
        <v>490208000</v>
      </c>
    </row>
    <row r="205" spans="1:8" x14ac:dyDescent="0.3">
      <c r="A205" s="1" t="s">
        <v>61</v>
      </c>
      <c r="B205" s="11">
        <v>2024</v>
      </c>
      <c r="C205" s="1" t="s">
        <v>67</v>
      </c>
      <c r="D205" s="2">
        <v>29000</v>
      </c>
      <c r="E205" s="2">
        <v>4829</v>
      </c>
      <c r="F205" s="2">
        <f t="shared" si="15"/>
        <v>140041000</v>
      </c>
      <c r="G205" s="2">
        <v>2100768000</v>
      </c>
      <c r="H205" s="2">
        <v>490208000</v>
      </c>
    </row>
    <row r="206" spans="1:8" x14ac:dyDescent="0.3">
      <c r="A206" s="1" t="s">
        <v>61</v>
      </c>
      <c r="B206" s="11">
        <v>2024</v>
      </c>
      <c r="C206" s="1" t="s">
        <v>68</v>
      </c>
      <c r="D206" s="2">
        <v>29000</v>
      </c>
      <c r="E206" s="2">
        <v>4829</v>
      </c>
      <c r="F206" s="2">
        <f t="shared" si="15"/>
        <v>140041000</v>
      </c>
      <c r="G206" s="2">
        <v>2100768000</v>
      </c>
      <c r="H206" s="2">
        <v>490208000</v>
      </c>
    </row>
    <row r="207" spans="1:8" x14ac:dyDescent="0.3">
      <c r="A207" s="1" t="s">
        <v>61</v>
      </c>
      <c r="B207" s="11">
        <v>2024</v>
      </c>
      <c r="C207" s="1" t="s">
        <v>69</v>
      </c>
      <c r="D207" s="2">
        <v>32000</v>
      </c>
      <c r="E207" s="2">
        <v>4376</v>
      </c>
      <c r="F207" s="2">
        <f t="shared" si="15"/>
        <v>140032000</v>
      </c>
      <c r="G207" s="2">
        <v>2100768000</v>
      </c>
      <c r="H207" s="2">
        <v>490208000</v>
      </c>
    </row>
    <row r="208" spans="1:8" x14ac:dyDescent="0.3">
      <c r="A208" s="1" t="s">
        <v>61</v>
      </c>
      <c r="B208" s="11">
        <v>2024</v>
      </c>
      <c r="C208" s="1" t="s">
        <v>70</v>
      </c>
      <c r="D208" s="2">
        <v>33000</v>
      </c>
      <c r="E208" s="2">
        <v>4243</v>
      </c>
      <c r="F208" s="2">
        <f t="shared" si="15"/>
        <v>140019000</v>
      </c>
      <c r="G208" s="2">
        <v>2100768000</v>
      </c>
      <c r="H208" s="2">
        <v>490208000</v>
      </c>
    </row>
    <row r="209" spans="1:8" x14ac:dyDescent="0.3">
      <c r="A209" s="1" t="s">
        <v>61</v>
      </c>
      <c r="B209" s="11">
        <v>2024</v>
      </c>
      <c r="C209" s="1" t="s">
        <v>71</v>
      </c>
      <c r="D209" s="2">
        <v>35000</v>
      </c>
      <c r="E209" s="2">
        <v>4001</v>
      </c>
      <c r="F209" s="2">
        <f t="shared" si="15"/>
        <v>140035000</v>
      </c>
      <c r="G209" s="2">
        <v>2100768000</v>
      </c>
      <c r="H209" s="2">
        <v>490208000</v>
      </c>
    </row>
    <row r="210" spans="1:8" x14ac:dyDescent="0.3">
      <c r="A210" s="1" t="s">
        <v>61</v>
      </c>
      <c r="B210" s="11">
        <v>2024</v>
      </c>
      <c r="C210" s="1" t="s">
        <v>72</v>
      </c>
      <c r="D210" s="2">
        <v>35000</v>
      </c>
      <c r="E210" s="2">
        <v>4001</v>
      </c>
      <c r="F210" s="2">
        <f t="shared" si="15"/>
        <v>140035000</v>
      </c>
      <c r="G210" s="2">
        <v>2100768000</v>
      </c>
      <c r="H210" s="2">
        <v>490208000</v>
      </c>
    </row>
    <row r="211" spans="1:8" x14ac:dyDescent="0.3">
      <c r="A211" s="1" t="s">
        <v>61</v>
      </c>
      <c r="B211" s="11">
        <v>2024</v>
      </c>
      <c r="C211" s="1" t="s">
        <v>73</v>
      </c>
      <c r="D211" s="2">
        <v>35000</v>
      </c>
      <c r="E211" s="2">
        <v>4001</v>
      </c>
      <c r="F211" s="2">
        <f t="shared" si="15"/>
        <v>140035000</v>
      </c>
      <c r="G211" s="2">
        <v>2100768000</v>
      </c>
      <c r="H211" s="2">
        <v>490208000</v>
      </c>
    </row>
    <row r="212" spans="1:8" x14ac:dyDescent="0.3">
      <c r="A212" s="1" t="s">
        <v>61</v>
      </c>
      <c r="B212" s="11">
        <v>2024</v>
      </c>
      <c r="C212" s="1" t="s">
        <v>74</v>
      </c>
      <c r="D212" s="2">
        <v>26000</v>
      </c>
      <c r="E212" s="2">
        <v>5386</v>
      </c>
      <c r="F212" s="2">
        <f t="shared" si="15"/>
        <v>140036000</v>
      </c>
      <c r="G212" s="2">
        <v>2100768000</v>
      </c>
      <c r="H212" s="2">
        <v>490208000</v>
      </c>
    </row>
    <row r="213" spans="1:8" x14ac:dyDescent="0.3">
      <c r="A213" s="1" t="s">
        <v>61</v>
      </c>
      <c r="B213" s="11">
        <v>2024</v>
      </c>
      <c r="C213" s="1" t="s">
        <v>75</v>
      </c>
      <c r="D213" s="2">
        <v>36000</v>
      </c>
      <c r="E213" s="2">
        <v>3890</v>
      </c>
      <c r="F213" s="2">
        <f t="shared" si="15"/>
        <v>140040000</v>
      </c>
      <c r="G213" s="2">
        <v>2100768000</v>
      </c>
      <c r="H213" s="2">
        <v>490208000</v>
      </c>
    </row>
    <row r="214" spans="1:8" x14ac:dyDescent="0.3">
      <c r="A214" s="1" t="s">
        <v>61</v>
      </c>
      <c r="B214" s="11">
        <v>2024</v>
      </c>
      <c r="C214" s="1" t="s">
        <v>76</v>
      </c>
      <c r="D214" s="2">
        <v>32000</v>
      </c>
      <c r="E214" s="2">
        <v>4376</v>
      </c>
      <c r="F214" s="2">
        <f t="shared" si="15"/>
        <v>140032000</v>
      </c>
      <c r="G214" s="2">
        <v>2100768000</v>
      </c>
      <c r="H214" s="2">
        <v>490208000</v>
      </c>
    </row>
    <row r="215" spans="1:8" x14ac:dyDescent="0.3">
      <c r="A215" s="1" t="s">
        <v>77</v>
      </c>
      <c r="B215" s="11">
        <v>2022</v>
      </c>
      <c r="C215" s="1" t="s">
        <v>78</v>
      </c>
      <c r="D215" s="2">
        <v>8250</v>
      </c>
      <c r="E215" s="2">
        <v>2249</v>
      </c>
      <c r="F215" s="2">
        <f>E215*D215</f>
        <v>18554250</v>
      </c>
      <c r="G215" s="2">
        <v>371125000</v>
      </c>
      <c r="H215" s="2">
        <v>31720000</v>
      </c>
    </row>
    <row r="216" spans="1:8" x14ac:dyDescent="0.3">
      <c r="A216" s="1" t="s">
        <v>77</v>
      </c>
      <c r="B216" s="11">
        <v>2022</v>
      </c>
      <c r="C216" s="1" t="s">
        <v>79</v>
      </c>
      <c r="D216" s="2">
        <v>1800</v>
      </c>
      <c r="E216" s="2">
        <v>10309</v>
      </c>
      <c r="F216" s="2">
        <f t="shared" ref="F216:F274" si="16">E216*D216</f>
        <v>18556200</v>
      </c>
      <c r="G216" s="2">
        <v>371125000</v>
      </c>
      <c r="H216" s="2">
        <v>31720000</v>
      </c>
    </row>
    <row r="217" spans="1:8" x14ac:dyDescent="0.3">
      <c r="A217" s="1" t="s">
        <v>77</v>
      </c>
      <c r="B217" s="11">
        <v>2022</v>
      </c>
      <c r="C217" s="1" t="s">
        <v>80</v>
      </c>
      <c r="D217" s="2">
        <v>9100</v>
      </c>
      <c r="E217" s="2">
        <v>2039</v>
      </c>
      <c r="F217" s="2">
        <f t="shared" si="16"/>
        <v>18554900</v>
      </c>
      <c r="G217" s="2">
        <v>371125000</v>
      </c>
      <c r="H217" s="2">
        <v>31720000</v>
      </c>
    </row>
    <row r="218" spans="1:8" x14ac:dyDescent="0.3">
      <c r="A218" s="1" t="s">
        <v>77</v>
      </c>
      <c r="B218" s="11">
        <v>2022</v>
      </c>
      <c r="C218" s="1" t="s">
        <v>79</v>
      </c>
      <c r="D218" s="2">
        <v>1800</v>
      </c>
      <c r="E218" s="2">
        <v>10309</v>
      </c>
      <c r="F218" s="2">
        <f t="shared" si="16"/>
        <v>18556200</v>
      </c>
      <c r="G218" s="2">
        <v>371125000</v>
      </c>
      <c r="H218" s="2">
        <v>31720000</v>
      </c>
    </row>
    <row r="219" spans="1:8" x14ac:dyDescent="0.3">
      <c r="A219" s="1" t="s">
        <v>77</v>
      </c>
      <c r="B219" s="11">
        <v>2022</v>
      </c>
      <c r="C219" s="1" t="s">
        <v>81</v>
      </c>
      <c r="D219" s="2">
        <v>11300</v>
      </c>
      <c r="E219" s="2">
        <v>1642</v>
      </c>
      <c r="F219" s="2">
        <f t="shared" si="16"/>
        <v>18554600</v>
      </c>
      <c r="G219" s="2">
        <v>371125000</v>
      </c>
      <c r="H219" s="2">
        <v>31720000</v>
      </c>
    </row>
    <row r="220" spans="1:8" x14ac:dyDescent="0.3">
      <c r="A220" s="1" t="s">
        <v>77</v>
      </c>
      <c r="B220" s="11">
        <v>2022</v>
      </c>
      <c r="C220" s="1" t="s">
        <v>79</v>
      </c>
      <c r="D220" s="2">
        <v>1800</v>
      </c>
      <c r="E220" s="2">
        <v>10309</v>
      </c>
      <c r="F220" s="2">
        <f t="shared" si="16"/>
        <v>18556200</v>
      </c>
      <c r="G220" s="2">
        <v>371125000</v>
      </c>
      <c r="H220" s="2">
        <v>31720000</v>
      </c>
    </row>
    <row r="221" spans="1:8" x14ac:dyDescent="0.3">
      <c r="A221" s="1" t="s">
        <v>77</v>
      </c>
      <c r="B221" s="11">
        <v>2022</v>
      </c>
      <c r="C221" s="1" t="s">
        <v>82</v>
      </c>
      <c r="D221" s="2">
        <v>17100</v>
      </c>
      <c r="E221" s="2">
        <v>1085</v>
      </c>
      <c r="F221" s="2">
        <f t="shared" si="16"/>
        <v>18553500</v>
      </c>
      <c r="G221" s="2">
        <v>371125000</v>
      </c>
      <c r="H221" s="2">
        <v>31720000</v>
      </c>
    </row>
    <row r="222" spans="1:8" x14ac:dyDescent="0.3">
      <c r="A222" s="1" t="s">
        <v>77</v>
      </c>
      <c r="B222" s="11">
        <v>2022</v>
      </c>
      <c r="C222" s="1" t="s">
        <v>79</v>
      </c>
      <c r="D222" s="2">
        <v>2800</v>
      </c>
      <c r="E222" s="2">
        <v>6627</v>
      </c>
      <c r="F222" s="2">
        <f t="shared" si="16"/>
        <v>18555600</v>
      </c>
      <c r="G222" s="2">
        <v>371125000</v>
      </c>
      <c r="H222" s="2">
        <v>31720000</v>
      </c>
    </row>
    <row r="223" spans="1:8" x14ac:dyDescent="0.3">
      <c r="A223" s="1" t="s">
        <v>77</v>
      </c>
      <c r="B223" s="11">
        <v>2022</v>
      </c>
      <c r="C223" s="1" t="s">
        <v>83</v>
      </c>
      <c r="D223" s="2">
        <v>24000</v>
      </c>
      <c r="E223" s="2">
        <v>773</v>
      </c>
      <c r="F223" s="2">
        <f t="shared" si="16"/>
        <v>18552000</v>
      </c>
      <c r="G223" s="2">
        <v>371125000</v>
      </c>
      <c r="H223" s="2">
        <v>31720000</v>
      </c>
    </row>
    <row r="224" spans="1:8" x14ac:dyDescent="0.3">
      <c r="A224" s="1" t="s">
        <v>77</v>
      </c>
      <c r="B224" s="11">
        <v>2022</v>
      </c>
      <c r="C224" s="1" t="s">
        <v>79</v>
      </c>
      <c r="D224" s="2">
        <v>2800</v>
      </c>
      <c r="E224" s="2">
        <v>6627</v>
      </c>
      <c r="F224" s="2">
        <f t="shared" si="16"/>
        <v>18555600</v>
      </c>
      <c r="G224" s="2">
        <v>371125000</v>
      </c>
      <c r="H224" s="2">
        <v>31720000</v>
      </c>
    </row>
    <row r="225" spans="1:8" x14ac:dyDescent="0.3">
      <c r="A225" s="1" t="s">
        <v>77</v>
      </c>
      <c r="B225" s="11">
        <v>2022</v>
      </c>
      <c r="C225" s="1" t="s">
        <v>84</v>
      </c>
      <c r="D225" s="2">
        <v>13670</v>
      </c>
      <c r="E225" s="2">
        <v>1357</v>
      </c>
      <c r="F225" s="2">
        <f t="shared" si="16"/>
        <v>18550190</v>
      </c>
      <c r="G225" s="2">
        <v>371125000</v>
      </c>
      <c r="H225" s="2">
        <v>31720000</v>
      </c>
    </row>
    <row r="226" spans="1:8" x14ac:dyDescent="0.3">
      <c r="A226" s="1" t="s">
        <v>77</v>
      </c>
      <c r="B226" s="11">
        <v>2022</v>
      </c>
      <c r="C226" s="1" t="s">
        <v>79</v>
      </c>
      <c r="D226" s="2">
        <v>2800</v>
      </c>
      <c r="E226" s="2">
        <v>6627</v>
      </c>
      <c r="F226" s="2">
        <f t="shared" si="16"/>
        <v>18555600</v>
      </c>
      <c r="G226" s="2">
        <v>371125000</v>
      </c>
      <c r="H226" s="2">
        <v>31720000</v>
      </c>
    </row>
    <row r="227" spans="1:8" x14ac:dyDescent="0.3">
      <c r="A227" s="1" t="s">
        <v>77</v>
      </c>
      <c r="B227" s="11">
        <v>2022</v>
      </c>
      <c r="C227" s="1" t="s">
        <v>85</v>
      </c>
      <c r="D227" s="2">
        <v>20800</v>
      </c>
      <c r="E227" s="2">
        <v>892</v>
      </c>
      <c r="F227" s="2">
        <f t="shared" si="16"/>
        <v>18553600</v>
      </c>
      <c r="G227" s="2">
        <v>371125000</v>
      </c>
      <c r="H227" s="2">
        <v>31720000</v>
      </c>
    </row>
    <row r="228" spans="1:8" x14ac:dyDescent="0.3">
      <c r="A228" s="1" t="s">
        <v>77</v>
      </c>
      <c r="B228" s="11">
        <v>2022</v>
      </c>
      <c r="C228" s="1" t="s">
        <v>79</v>
      </c>
      <c r="D228" s="2">
        <v>2800</v>
      </c>
      <c r="E228" s="2">
        <v>6627</v>
      </c>
      <c r="F228" s="2">
        <f t="shared" si="16"/>
        <v>18555600</v>
      </c>
      <c r="G228" s="2">
        <v>371125000</v>
      </c>
      <c r="H228" s="2">
        <v>31720000</v>
      </c>
    </row>
    <row r="229" spans="1:8" x14ac:dyDescent="0.3">
      <c r="A229" s="1" t="s">
        <v>77</v>
      </c>
      <c r="B229" s="11">
        <v>2022</v>
      </c>
      <c r="C229" s="1" t="s">
        <v>86</v>
      </c>
      <c r="D229" s="2">
        <v>8100</v>
      </c>
      <c r="E229" s="2">
        <v>2290</v>
      </c>
      <c r="F229" s="2">
        <f t="shared" si="16"/>
        <v>18549000</v>
      </c>
      <c r="G229" s="2">
        <v>371125000</v>
      </c>
      <c r="H229" s="2">
        <v>31720000</v>
      </c>
    </row>
    <row r="230" spans="1:8" x14ac:dyDescent="0.3">
      <c r="A230" s="1" t="s">
        <v>77</v>
      </c>
      <c r="B230" s="11">
        <v>2022</v>
      </c>
      <c r="C230" s="1" t="s">
        <v>79</v>
      </c>
      <c r="D230" s="2">
        <v>1800</v>
      </c>
      <c r="E230" s="2">
        <v>10309</v>
      </c>
      <c r="F230" s="2">
        <f t="shared" si="16"/>
        <v>18556200</v>
      </c>
      <c r="G230" s="2">
        <v>371125000</v>
      </c>
      <c r="H230" s="2">
        <v>31720000</v>
      </c>
    </row>
    <row r="231" spans="1:8" x14ac:dyDescent="0.3">
      <c r="A231" s="1" t="s">
        <v>77</v>
      </c>
      <c r="B231" s="11">
        <v>2022</v>
      </c>
      <c r="C231" s="1" t="s">
        <v>87</v>
      </c>
      <c r="D231" s="2">
        <v>250</v>
      </c>
      <c r="E231" s="2">
        <v>74225</v>
      </c>
      <c r="F231" s="2">
        <f t="shared" si="16"/>
        <v>18556250</v>
      </c>
      <c r="G231" s="2">
        <v>371125000</v>
      </c>
      <c r="H231" s="2">
        <v>31720000</v>
      </c>
    </row>
    <row r="232" spans="1:8" x14ac:dyDescent="0.3">
      <c r="A232" s="1" t="s">
        <v>77</v>
      </c>
      <c r="B232" s="11">
        <v>2022</v>
      </c>
      <c r="C232" s="1" t="s">
        <v>88</v>
      </c>
      <c r="D232" s="2">
        <v>72000</v>
      </c>
      <c r="E232" s="2">
        <v>257</v>
      </c>
      <c r="F232" s="2">
        <f t="shared" si="16"/>
        <v>18504000</v>
      </c>
      <c r="G232" s="2">
        <v>371125000</v>
      </c>
      <c r="H232" s="2">
        <v>31720000</v>
      </c>
    </row>
    <row r="233" spans="1:8" x14ac:dyDescent="0.3">
      <c r="A233" s="1" t="s">
        <v>77</v>
      </c>
      <c r="B233" s="11">
        <v>2022</v>
      </c>
      <c r="C233" s="1" t="s">
        <v>89</v>
      </c>
      <c r="D233" s="2">
        <v>83000</v>
      </c>
      <c r="E233" s="2">
        <v>223</v>
      </c>
      <c r="F233" s="2">
        <f t="shared" si="16"/>
        <v>18509000</v>
      </c>
      <c r="G233" s="2">
        <v>371125000</v>
      </c>
      <c r="H233" s="2">
        <v>31720000</v>
      </c>
    </row>
    <row r="234" spans="1:8" x14ac:dyDescent="0.3">
      <c r="A234" s="1" t="s">
        <v>77</v>
      </c>
      <c r="B234" s="11">
        <v>2022</v>
      </c>
      <c r="C234" s="1" t="s">
        <v>90</v>
      </c>
      <c r="D234" s="2">
        <v>105000</v>
      </c>
      <c r="E234" s="2">
        <v>177</v>
      </c>
      <c r="F234" s="2">
        <f t="shared" si="16"/>
        <v>18585000</v>
      </c>
      <c r="G234" s="2">
        <v>371125000</v>
      </c>
      <c r="H234" s="2">
        <v>31720000</v>
      </c>
    </row>
    <row r="235" spans="1:8" x14ac:dyDescent="0.3">
      <c r="A235" s="1" t="s">
        <v>77</v>
      </c>
      <c r="B235" s="11">
        <v>2023</v>
      </c>
      <c r="C235" s="1" t="s">
        <v>78</v>
      </c>
      <c r="D235" s="2">
        <v>8250</v>
      </c>
      <c r="E235" s="2">
        <v>6312</v>
      </c>
      <c r="F235" s="2">
        <f t="shared" si="16"/>
        <v>52074000</v>
      </c>
      <c r="G235" s="2">
        <v>1041499000</v>
      </c>
      <c r="H235" s="2">
        <v>117326000</v>
      </c>
    </row>
    <row r="236" spans="1:8" x14ac:dyDescent="0.3">
      <c r="A236" s="1" t="s">
        <v>77</v>
      </c>
      <c r="B236" s="11">
        <v>2023</v>
      </c>
      <c r="C236" s="1" t="s">
        <v>79</v>
      </c>
      <c r="D236" s="2">
        <v>1800</v>
      </c>
      <c r="E236" s="2">
        <v>28930</v>
      </c>
      <c r="F236" s="2">
        <f t="shared" si="16"/>
        <v>52074000</v>
      </c>
      <c r="G236" s="2">
        <v>1041499000</v>
      </c>
      <c r="H236" s="2">
        <v>117326000</v>
      </c>
    </row>
    <row r="237" spans="1:8" x14ac:dyDescent="0.3">
      <c r="A237" s="1" t="s">
        <v>77</v>
      </c>
      <c r="B237" s="11">
        <v>2023</v>
      </c>
      <c r="C237" s="1" t="s">
        <v>80</v>
      </c>
      <c r="D237" s="2">
        <v>9100</v>
      </c>
      <c r="E237" s="2">
        <v>5722</v>
      </c>
      <c r="F237" s="2">
        <f t="shared" si="16"/>
        <v>52070200</v>
      </c>
      <c r="G237" s="2">
        <v>1041499000</v>
      </c>
      <c r="H237" s="2">
        <v>117326000</v>
      </c>
    </row>
    <row r="238" spans="1:8" x14ac:dyDescent="0.3">
      <c r="A238" s="1" t="s">
        <v>77</v>
      </c>
      <c r="B238" s="11">
        <v>2023</v>
      </c>
      <c r="C238" s="1" t="s">
        <v>79</v>
      </c>
      <c r="D238" s="2">
        <v>1800</v>
      </c>
      <c r="E238" s="2">
        <v>28930</v>
      </c>
      <c r="F238" s="2">
        <f t="shared" si="16"/>
        <v>52074000</v>
      </c>
      <c r="G238" s="2">
        <v>1041499000</v>
      </c>
      <c r="H238" s="2">
        <v>117326000</v>
      </c>
    </row>
    <row r="239" spans="1:8" x14ac:dyDescent="0.3">
      <c r="A239" s="1" t="s">
        <v>77</v>
      </c>
      <c r="B239" s="11">
        <v>2023</v>
      </c>
      <c r="C239" s="1" t="s">
        <v>81</v>
      </c>
      <c r="D239" s="2">
        <v>11300</v>
      </c>
      <c r="E239" s="2">
        <v>4608</v>
      </c>
      <c r="F239" s="2">
        <f t="shared" si="16"/>
        <v>52070400</v>
      </c>
      <c r="G239" s="2">
        <v>1041499000</v>
      </c>
      <c r="H239" s="2">
        <v>117326000</v>
      </c>
    </row>
    <row r="240" spans="1:8" x14ac:dyDescent="0.3">
      <c r="A240" s="1" t="s">
        <v>77</v>
      </c>
      <c r="B240" s="11">
        <v>2023</v>
      </c>
      <c r="C240" s="1" t="s">
        <v>79</v>
      </c>
      <c r="D240" s="2">
        <v>1800</v>
      </c>
      <c r="E240" s="2">
        <v>28930</v>
      </c>
      <c r="F240" s="2">
        <f t="shared" si="16"/>
        <v>52074000</v>
      </c>
      <c r="G240" s="2">
        <v>1041499000</v>
      </c>
      <c r="H240" s="2">
        <v>117326000</v>
      </c>
    </row>
    <row r="241" spans="1:8" x14ac:dyDescent="0.3">
      <c r="A241" s="1" t="s">
        <v>77</v>
      </c>
      <c r="B241" s="11">
        <v>2023</v>
      </c>
      <c r="C241" s="1" t="s">
        <v>82</v>
      </c>
      <c r="D241" s="2">
        <v>17100</v>
      </c>
      <c r="E241" s="2">
        <v>3045</v>
      </c>
      <c r="F241" s="2">
        <f t="shared" si="16"/>
        <v>52069500</v>
      </c>
      <c r="G241" s="2">
        <v>1041499000</v>
      </c>
      <c r="H241" s="2">
        <v>117326000</v>
      </c>
    </row>
    <row r="242" spans="1:8" x14ac:dyDescent="0.3">
      <c r="A242" s="1" t="s">
        <v>77</v>
      </c>
      <c r="B242" s="11">
        <v>2023</v>
      </c>
      <c r="C242" s="1" t="s">
        <v>79</v>
      </c>
      <c r="D242" s="2">
        <v>2800</v>
      </c>
      <c r="E242" s="2">
        <v>18598</v>
      </c>
      <c r="F242" s="2">
        <f t="shared" si="16"/>
        <v>52074400</v>
      </c>
      <c r="G242" s="2">
        <v>1041499000</v>
      </c>
      <c r="H242" s="2">
        <v>117326000</v>
      </c>
    </row>
    <row r="243" spans="1:8" x14ac:dyDescent="0.3">
      <c r="A243" s="1" t="s">
        <v>77</v>
      </c>
      <c r="B243" s="11">
        <v>2023</v>
      </c>
      <c r="C243" s="1" t="s">
        <v>83</v>
      </c>
      <c r="D243" s="2">
        <v>24000</v>
      </c>
      <c r="E243" s="2">
        <v>2169</v>
      </c>
      <c r="F243" s="2">
        <f t="shared" si="16"/>
        <v>52056000</v>
      </c>
      <c r="G243" s="2">
        <v>1041499000</v>
      </c>
      <c r="H243" s="2">
        <v>117326000</v>
      </c>
    </row>
    <row r="244" spans="1:8" x14ac:dyDescent="0.3">
      <c r="A244" s="1" t="s">
        <v>77</v>
      </c>
      <c r="B244" s="11">
        <v>2023</v>
      </c>
      <c r="C244" s="1" t="s">
        <v>79</v>
      </c>
      <c r="D244" s="2">
        <v>2800</v>
      </c>
      <c r="E244" s="2">
        <v>18598</v>
      </c>
      <c r="F244" s="2">
        <f t="shared" si="16"/>
        <v>52074400</v>
      </c>
      <c r="G244" s="2">
        <v>1041499000</v>
      </c>
      <c r="H244" s="2">
        <v>117326000</v>
      </c>
    </row>
    <row r="245" spans="1:8" x14ac:dyDescent="0.3">
      <c r="A245" s="1" t="s">
        <v>77</v>
      </c>
      <c r="B245" s="11">
        <v>2023</v>
      </c>
      <c r="C245" s="1" t="s">
        <v>84</v>
      </c>
      <c r="D245" s="2">
        <v>13670</v>
      </c>
      <c r="E245" s="2">
        <v>3809</v>
      </c>
      <c r="F245" s="2">
        <f t="shared" si="16"/>
        <v>52069030</v>
      </c>
      <c r="G245" s="2">
        <v>1041499000</v>
      </c>
      <c r="H245" s="2">
        <v>117326000</v>
      </c>
    </row>
    <row r="246" spans="1:8" x14ac:dyDescent="0.3">
      <c r="A246" s="1" t="s">
        <v>77</v>
      </c>
      <c r="B246" s="11">
        <v>2023</v>
      </c>
      <c r="C246" s="1" t="s">
        <v>79</v>
      </c>
      <c r="D246" s="2">
        <v>2800</v>
      </c>
      <c r="E246" s="2">
        <v>18598</v>
      </c>
      <c r="F246" s="2">
        <f t="shared" si="16"/>
        <v>52074400</v>
      </c>
      <c r="G246" s="2">
        <v>1041499000</v>
      </c>
      <c r="H246" s="2">
        <v>117326000</v>
      </c>
    </row>
    <row r="247" spans="1:8" x14ac:dyDescent="0.3">
      <c r="A247" s="1" t="s">
        <v>77</v>
      </c>
      <c r="B247" s="11">
        <v>2023</v>
      </c>
      <c r="C247" s="1" t="s">
        <v>85</v>
      </c>
      <c r="D247" s="2">
        <v>20800</v>
      </c>
      <c r="E247" s="2">
        <v>2503</v>
      </c>
      <c r="F247" s="2">
        <f t="shared" si="16"/>
        <v>52062400</v>
      </c>
      <c r="G247" s="2">
        <v>1041499000</v>
      </c>
      <c r="H247" s="2">
        <v>117326000</v>
      </c>
    </row>
    <row r="248" spans="1:8" x14ac:dyDescent="0.3">
      <c r="A248" s="1" t="s">
        <v>77</v>
      </c>
      <c r="B248" s="11">
        <v>2023</v>
      </c>
      <c r="C248" s="1" t="s">
        <v>79</v>
      </c>
      <c r="D248" s="2">
        <v>2800</v>
      </c>
      <c r="E248" s="2">
        <v>18598</v>
      </c>
      <c r="F248" s="2">
        <f t="shared" si="16"/>
        <v>52074400</v>
      </c>
      <c r="G248" s="2">
        <v>1041499000</v>
      </c>
      <c r="H248" s="2">
        <v>117326000</v>
      </c>
    </row>
    <row r="249" spans="1:8" x14ac:dyDescent="0.3">
      <c r="A249" s="1" t="s">
        <v>77</v>
      </c>
      <c r="B249" s="11">
        <v>2023</v>
      </c>
      <c r="C249" s="1" t="s">
        <v>86</v>
      </c>
      <c r="D249" s="2">
        <v>8100</v>
      </c>
      <c r="E249" s="2">
        <v>6429</v>
      </c>
      <c r="F249" s="2">
        <f t="shared" si="16"/>
        <v>52074900</v>
      </c>
      <c r="G249" s="2">
        <v>1041499000</v>
      </c>
      <c r="H249" s="2">
        <v>117326000</v>
      </c>
    </row>
    <row r="250" spans="1:8" x14ac:dyDescent="0.3">
      <c r="A250" s="1" t="s">
        <v>77</v>
      </c>
      <c r="B250" s="11">
        <v>2023</v>
      </c>
      <c r="C250" s="1" t="s">
        <v>79</v>
      </c>
      <c r="D250" s="2">
        <v>1800</v>
      </c>
      <c r="E250" s="2">
        <v>28930</v>
      </c>
      <c r="F250" s="2">
        <f t="shared" si="16"/>
        <v>52074000</v>
      </c>
      <c r="G250" s="2">
        <v>1041499000</v>
      </c>
      <c r="H250" s="2">
        <v>117326000</v>
      </c>
    </row>
    <row r="251" spans="1:8" x14ac:dyDescent="0.3">
      <c r="A251" s="1" t="s">
        <v>77</v>
      </c>
      <c r="B251" s="11">
        <v>2023</v>
      </c>
      <c r="C251" s="1" t="s">
        <v>87</v>
      </c>
      <c r="D251" s="2">
        <v>250</v>
      </c>
      <c r="E251" s="2">
        <v>208299</v>
      </c>
      <c r="F251" s="2">
        <f t="shared" si="16"/>
        <v>52074750</v>
      </c>
      <c r="G251" s="2">
        <v>1041499000</v>
      </c>
      <c r="H251" s="2">
        <v>117326000</v>
      </c>
    </row>
    <row r="252" spans="1:8" x14ac:dyDescent="0.3">
      <c r="A252" s="1" t="s">
        <v>77</v>
      </c>
      <c r="B252" s="11">
        <v>2023</v>
      </c>
      <c r="C252" s="1" t="s">
        <v>88</v>
      </c>
      <c r="D252" s="2">
        <v>72000</v>
      </c>
      <c r="E252" s="2">
        <v>723</v>
      </c>
      <c r="F252" s="2">
        <f t="shared" si="16"/>
        <v>52056000</v>
      </c>
      <c r="G252" s="2">
        <v>1041499000</v>
      </c>
      <c r="H252" s="2">
        <v>117326000</v>
      </c>
    </row>
    <row r="253" spans="1:8" x14ac:dyDescent="0.3">
      <c r="A253" s="1" t="s">
        <v>77</v>
      </c>
      <c r="B253" s="11">
        <v>2023</v>
      </c>
      <c r="C253" s="1" t="s">
        <v>89</v>
      </c>
      <c r="D253" s="2">
        <v>83000</v>
      </c>
      <c r="E253" s="2">
        <v>627</v>
      </c>
      <c r="F253" s="2">
        <f t="shared" si="16"/>
        <v>52041000</v>
      </c>
      <c r="G253" s="2">
        <v>1041499000</v>
      </c>
      <c r="H253" s="2">
        <v>117326000</v>
      </c>
    </row>
    <row r="254" spans="1:8" x14ac:dyDescent="0.3">
      <c r="A254" s="1" t="s">
        <v>77</v>
      </c>
      <c r="B254" s="11">
        <v>2023</v>
      </c>
      <c r="C254" s="1" t="s">
        <v>90</v>
      </c>
      <c r="D254" s="2">
        <v>105000</v>
      </c>
      <c r="E254" s="2">
        <v>497</v>
      </c>
      <c r="F254" s="2">
        <f t="shared" si="16"/>
        <v>52185000</v>
      </c>
      <c r="G254" s="2">
        <v>1041499000</v>
      </c>
      <c r="H254" s="2">
        <v>117326000</v>
      </c>
    </row>
    <row r="255" spans="1:8" x14ac:dyDescent="0.3">
      <c r="A255" s="1" t="s">
        <v>77</v>
      </c>
      <c r="B255" s="11">
        <v>2024</v>
      </c>
      <c r="C255" s="1" t="s">
        <v>78</v>
      </c>
      <c r="D255" s="2">
        <v>8250</v>
      </c>
      <c r="E255" s="2">
        <v>4537</v>
      </c>
      <c r="F255" s="2">
        <f t="shared" si="16"/>
        <v>37430250</v>
      </c>
      <c r="G255" s="2">
        <v>748638000</v>
      </c>
      <c r="H255" s="2">
        <v>3286000</v>
      </c>
    </row>
    <row r="256" spans="1:8" x14ac:dyDescent="0.3">
      <c r="A256" s="1" t="s">
        <v>77</v>
      </c>
      <c r="B256" s="11">
        <v>2024</v>
      </c>
      <c r="C256" s="1" t="s">
        <v>79</v>
      </c>
      <c r="D256" s="2">
        <v>1800</v>
      </c>
      <c r="E256" s="2">
        <v>20795</v>
      </c>
      <c r="F256" s="2">
        <f t="shared" si="16"/>
        <v>37431000</v>
      </c>
      <c r="G256" s="2">
        <v>748638000</v>
      </c>
      <c r="H256" s="2">
        <v>3286000</v>
      </c>
    </row>
    <row r="257" spans="1:8" x14ac:dyDescent="0.3">
      <c r="A257" s="1" t="s">
        <v>77</v>
      </c>
      <c r="B257" s="11">
        <v>2024</v>
      </c>
      <c r="C257" s="1" t="s">
        <v>80</v>
      </c>
      <c r="D257" s="2">
        <v>9100</v>
      </c>
      <c r="E257" s="2">
        <v>4113</v>
      </c>
      <c r="F257" s="2">
        <f t="shared" si="16"/>
        <v>37428300</v>
      </c>
      <c r="G257" s="2">
        <v>748638000</v>
      </c>
      <c r="H257" s="2">
        <v>3286000</v>
      </c>
    </row>
    <row r="258" spans="1:8" x14ac:dyDescent="0.3">
      <c r="A258" s="1" t="s">
        <v>77</v>
      </c>
      <c r="B258" s="11">
        <v>2024</v>
      </c>
      <c r="C258" s="1" t="s">
        <v>79</v>
      </c>
      <c r="D258" s="2">
        <v>1800</v>
      </c>
      <c r="E258" s="2">
        <v>20795</v>
      </c>
      <c r="F258" s="2">
        <f t="shared" si="16"/>
        <v>37431000</v>
      </c>
      <c r="G258" s="2">
        <v>748638000</v>
      </c>
      <c r="H258" s="2">
        <v>3286000</v>
      </c>
    </row>
    <row r="259" spans="1:8" x14ac:dyDescent="0.3">
      <c r="A259" s="1" t="s">
        <v>77</v>
      </c>
      <c r="B259" s="11">
        <v>2024</v>
      </c>
      <c r="C259" s="1" t="s">
        <v>81</v>
      </c>
      <c r="D259" s="2">
        <v>11300</v>
      </c>
      <c r="E259" s="2">
        <v>3312</v>
      </c>
      <c r="F259" s="2">
        <f t="shared" si="16"/>
        <v>37425600</v>
      </c>
      <c r="G259" s="2">
        <v>748638000</v>
      </c>
      <c r="H259" s="2">
        <v>3286000</v>
      </c>
    </row>
    <row r="260" spans="1:8" x14ac:dyDescent="0.3">
      <c r="A260" s="1" t="s">
        <v>77</v>
      </c>
      <c r="B260" s="11">
        <v>2024</v>
      </c>
      <c r="C260" s="1" t="s">
        <v>79</v>
      </c>
      <c r="D260" s="2">
        <v>1800</v>
      </c>
      <c r="E260" s="2">
        <v>20795</v>
      </c>
      <c r="F260" s="2">
        <f t="shared" si="16"/>
        <v>37431000</v>
      </c>
      <c r="G260" s="2">
        <v>748638000</v>
      </c>
      <c r="H260" s="2">
        <v>3286000</v>
      </c>
    </row>
    <row r="261" spans="1:8" x14ac:dyDescent="0.3">
      <c r="A261" s="1" t="s">
        <v>77</v>
      </c>
      <c r="B261" s="11">
        <v>2024</v>
      </c>
      <c r="C261" s="1" t="s">
        <v>82</v>
      </c>
      <c r="D261" s="2">
        <v>17100</v>
      </c>
      <c r="E261" s="2">
        <v>2189</v>
      </c>
      <c r="F261" s="2">
        <f t="shared" si="16"/>
        <v>37431900</v>
      </c>
      <c r="G261" s="2">
        <v>748638000</v>
      </c>
      <c r="H261" s="2">
        <v>3286000</v>
      </c>
    </row>
    <row r="262" spans="1:8" x14ac:dyDescent="0.3">
      <c r="A262" s="1" t="s">
        <v>77</v>
      </c>
      <c r="B262" s="11">
        <v>2024</v>
      </c>
      <c r="C262" s="1" t="s">
        <v>79</v>
      </c>
      <c r="D262" s="2">
        <v>2800</v>
      </c>
      <c r="E262" s="2">
        <v>13368</v>
      </c>
      <c r="F262" s="2">
        <f t="shared" si="16"/>
        <v>37430400</v>
      </c>
      <c r="G262" s="2">
        <v>748638000</v>
      </c>
      <c r="H262" s="2">
        <v>3286000</v>
      </c>
    </row>
    <row r="263" spans="1:8" x14ac:dyDescent="0.3">
      <c r="A263" s="1" t="s">
        <v>77</v>
      </c>
      <c r="B263" s="11">
        <v>2024</v>
      </c>
      <c r="C263" s="1" t="s">
        <v>83</v>
      </c>
      <c r="D263" s="2">
        <v>24000</v>
      </c>
      <c r="E263" s="2">
        <v>1559</v>
      </c>
      <c r="F263" s="2">
        <f t="shared" si="16"/>
        <v>37416000</v>
      </c>
      <c r="G263" s="2">
        <v>748638000</v>
      </c>
      <c r="H263" s="2">
        <v>3286000</v>
      </c>
    </row>
    <row r="264" spans="1:8" x14ac:dyDescent="0.3">
      <c r="A264" s="1" t="s">
        <v>77</v>
      </c>
      <c r="B264" s="11">
        <v>2024</v>
      </c>
      <c r="C264" s="1" t="s">
        <v>79</v>
      </c>
      <c r="D264" s="2">
        <v>2800</v>
      </c>
      <c r="E264" s="2">
        <v>13368</v>
      </c>
      <c r="F264" s="2">
        <f t="shared" si="16"/>
        <v>37430400</v>
      </c>
      <c r="G264" s="2">
        <v>748638000</v>
      </c>
      <c r="H264" s="2">
        <v>3286000</v>
      </c>
    </row>
    <row r="265" spans="1:8" x14ac:dyDescent="0.3">
      <c r="A265" s="1" t="s">
        <v>77</v>
      </c>
      <c r="B265" s="11">
        <v>2024</v>
      </c>
      <c r="C265" s="1" t="s">
        <v>84</v>
      </c>
      <c r="D265" s="2">
        <v>13670</v>
      </c>
      <c r="E265" s="2">
        <v>2738</v>
      </c>
      <c r="F265" s="2">
        <f t="shared" si="16"/>
        <v>37428460</v>
      </c>
      <c r="G265" s="2">
        <v>748638000</v>
      </c>
      <c r="H265" s="2">
        <v>3286000</v>
      </c>
    </row>
    <row r="266" spans="1:8" x14ac:dyDescent="0.3">
      <c r="A266" s="1" t="s">
        <v>77</v>
      </c>
      <c r="B266" s="11">
        <v>2024</v>
      </c>
      <c r="C266" s="1" t="s">
        <v>79</v>
      </c>
      <c r="D266" s="2">
        <v>2800</v>
      </c>
      <c r="E266" s="2">
        <v>13368</v>
      </c>
      <c r="F266" s="2">
        <f t="shared" si="16"/>
        <v>37430400</v>
      </c>
      <c r="G266" s="2">
        <v>748638000</v>
      </c>
      <c r="H266" s="2">
        <v>3286000</v>
      </c>
    </row>
    <row r="267" spans="1:8" x14ac:dyDescent="0.3">
      <c r="A267" s="1" t="s">
        <v>77</v>
      </c>
      <c r="B267" s="11">
        <v>2024</v>
      </c>
      <c r="C267" s="1" t="s">
        <v>85</v>
      </c>
      <c r="D267" s="2">
        <v>20800</v>
      </c>
      <c r="E267" s="2">
        <v>1799</v>
      </c>
      <c r="F267" s="2">
        <f t="shared" si="16"/>
        <v>37419200</v>
      </c>
      <c r="G267" s="2">
        <v>748638000</v>
      </c>
      <c r="H267" s="2">
        <v>3286000</v>
      </c>
    </row>
    <row r="268" spans="1:8" x14ac:dyDescent="0.3">
      <c r="A268" s="1" t="s">
        <v>77</v>
      </c>
      <c r="B268" s="11">
        <v>2024</v>
      </c>
      <c r="C268" s="1" t="s">
        <v>79</v>
      </c>
      <c r="D268" s="2">
        <v>2800</v>
      </c>
      <c r="E268" s="2">
        <v>13368</v>
      </c>
      <c r="F268" s="2">
        <f t="shared" si="16"/>
        <v>37430400</v>
      </c>
      <c r="G268" s="2">
        <v>748638000</v>
      </c>
      <c r="H268" s="2">
        <v>3286000</v>
      </c>
    </row>
    <row r="269" spans="1:8" x14ac:dyDescent="0.3">
      <c r="A269" s="1" t="s">
        <v>77</v>
      </c>
      <c r="B269" s="11">
        <v>2024</v>
      </c>
      <c r="C269" s="1" t="s">
        <v>86</v>
      </c>
      <c r="D269" s="2">
        <v>8100</v>
      </c>
      <c r="E269" s="2">
        <v>4621</v>
      </c>
      <c r="F269" s="2">
        <f t="shared" si="16"/>
        <v>37430100</v>
      </c>
      <c r="G269" s="2">
        <v>748638000</v>
      </c>
      <c r="H269" s="2">
        <v>3286000</v>
      </c>
    </row>
    <row r="270" spans="1:8" x14ac:dyDescent="0.3">
      <c r="A270" s="1" t="s">
        <v>77</v>
      </c>
      <c r="B270" s="11">
        <v>2024</v>
      </c>
      <c r="C270" s="1" t="s">
        <v>79</v>
      </c>
      <c r="D270" s="2">
        <v>1800</v>
      </c>
      <c r="E270" s="2">
        <v>20795</v>
      </c>
      <c r="F270" s="2">
        <f t="shared" si="16"/>
        <v>37431000</v>
      </c>
      <c r="G270" s="2">
        <v>748638000</v>
      </c>
      <c r="H270" s="2">
        <v>3286000</v>
      </c>
    </row>
    <row r="271" spans="1:8" x14ac:dyDescent="0.3">
      <c r="A271" s="1" t="s">
        <v>77</v>
      </c>
      <c r="B271" s="11">
        <v>2024</v>
      </c>
      <c r="C271" s="1" t="s">
        <v>87</v>
      </c>
      <c r="D271" s="2">
        <v>250</v>
      </c>
      <c r="E271" s="2">
        <v>149727</v>
      </c>
      <c r="F271" s="2">
        <f t="shared" si="16"/>
        <v>37431750</v>
      </c>
      <c r="G271" s="2">
        <v>748638000</v>
      </c>
      <c r="H271" s="2">
        <v>3286000</v>
      </c>
    </row>
    <row r="272" spans="1:8" x14ac:dyDescent="0.3">
      <c r="A272" s="1" t="s">
        <v>77</v>
      </c>
      <c r="B272" s="11">
        <v>2024</v>
      </c>
      <c r="C272" s="1" t="s">
        <v>88</v>
      </c>
      <c r="D272" s="2">
        <v>72000</v>
      </c>
      <c r="E272" s="2">
        <v>519</v>
      </c>
      <c r="F272" s="2">
        <f t="shared" si="16"/>
        <v>37368000</v>
      </c>
      <c r="G272" s="2">
        <v>748638000</v>
      </c>
      <c r="H272" s="2">
        <v>3286000</v>
      </c>
    </row>
    <row r="273" spans="1:8" x14ac:dyDescent="0.3">
      <c r="A273" s="1" t="s">
        <v>77</v>
      </c>
      <c r="B273" s="11">
        <v>2024</v>
      </c>
      <c r="C273" s="1" t="s">
        <v>89</v>
      </c>
      <c r="D273" s="2">
        <v>83000</v>
      </c>
      <c r="E273" s="2">
        <v>450</v>
      </c>
      <c r="F273" s="2">
        <f t="shared" si="16"/>
        <v>37350000</v>
      </c>
      <c r="G273" s="2">
        <v>748638000</v>
      </c>
      <c r="H273" s="2">
        <v>3286000</v>
      </c>
    </row>
    <row r="274" spans="1:8" x14ac:dyDescent="0.3">
      <c r="A274" s="1" t="s">
        <v>77</v>
      </c>
      <c r="B274" s="11">
        <v>2024</v>
      </c>
      <c r="C274" s="1" t="s">
        <v>90</v>
      </c>
      <c r="D274" s="2">
        <v>105000</v>
      </c>
      <c r="E274" s="2">
        <v>358</v>
      </c>
      <c r="F274" s="2">
        <f t="shared" si="16"/>
        <v>37590000</v>
      </c>
      <c r="G274" s="2">
        <v>748638000</v>
      </c>
      <c r="H274" s="2">
        <v>3286000</v>
      </c>
    </row>
    <row r="275" spans="1:8" x14ac:dyDescent="0.3">
      <c r="A275" s="1" t="s">
        <v>91</v>
      </c>
      <c r="B275" s="11">
        <v>2022</v>
      </c>
      <c r="C275" s="1" t="s">
        <v>92</v>
      </c>
      <c r="D275" s="2">
        <v>950</v>
      </c>
      <c r="E275" s="2">
        <v>55325</v>
      </c>
      <c r="F275" s="2">
        <f>E275*D275</f>
        <v>52558750</v>
      </c>
      <c r="G275" s="2">
        <v>893513000</v>
      </c>
      <c r="H275" s="2">
        <v>324784000</v>
      </c>
    </row>
    <row r="276" spans="1:8" x14ac:dyDescent="0.3">
      <c r="A276" s="1" t="s">
        <v>91</v>
      </c>
      <c r="B276" s="11">
        <v>2022</v>
      </c>
      <c r="C276" s="1" t="s">
        <v>93</v>
      </c>
      <c r="D276" s="2">
        <v>1100</v>
      </c>
      <c r="E276" s="2">
        <v>47781</v>
      </c>
      <c r="F276" s="2">
        <f t="shared" ref="F276:F325" si="17">E276*D276</f>
        <v>52559100</v>
      </c>
      <c r="G276" s="2">
        <v>893513000</v>
      </c>
      <c r="H276" s="2">
        <v>324784000</v>
      </c>
    </row>
    <row r="277" spans="1:8" x14ac:dyDescent="0.3">
      <c r="A277" s="1" t="s">
        <v>91</v>
      </c>
      <c r="B277" s="11">
        <v>2022</v>
      </c>
      <c r="C277" s="1" t="s">
        <v>94</v>
      </c>
      <c r="D277" s="2">
        <v>1250</v>
      </c>
      <c r="E277" s="2">
        <v>42047</v>
      </c>
      <c r="F277" s="2">
        <f t="shared" si="17"/>
        <v>52558750</v>
      </c>
      <c r="G277" s="2">
        <v>893513000</v>
      </c>
      <c r="H277" s="2">
        <v>324784000</v>
      </c>
    </row>
    <row r="278" spans="1:8" x14ac:dyDescent="0.3">
      <c r="A278" s="1" t="s">
        <v>91</v>
      </c>
      <c r="B278" s="11">
        <v>2022</v>
      </c>
      <c r="C278" s="1" t="s">
        <v>95</v>
      </c>
      <c r="D278" s="2">
        <v>1300</v>
      </c>
      <c r="E278" s="2">
        <v>40430</v>
      </c>
      <c r="F278" s="2">
        <f t="shared" si="17"/>
        <v>52559000</v>
      </c>
      <c r="G278" s="2">
        <v>893513000</v>
      </c>
      <c r="H278" s="2">
        <v>324784000</v>
      </c>
    </row>
    <row r="279" spans="1:8" x14ac:dyDescent="0.3">
      <c r="A279" s="1" t="s">
        <v>91</v>
      </c>
      <c r="B279" s="11">
        <v>2022</v>
      </c>
      <c r="C279" s="1" t="s">
        <v>96</v>
      </c>
      <c r="D279" s="2">
        <v>1350</v>
      </c>
      <c r="E279" s="2">
        <v>38933</v>
      </c>
      <c r="F279" s="2">
        <f t="shared" si="17"/>
        <v>52559550</v>
      </c>
      <c r="G279" s="2">
        <v>893513000</v>
      </c>
      <c r="H279" s="2">
        <v>324784000</v>
      </c>
    </row>
    <row r="280" spans="1:8" x14ac:dyDescent="0.3">
      <c r="A280" s="1" t="s">
        <v>91</v>
      </c>
      <c r="B280" s="11">
        <v>2022</v>
      </c>
      <c r="C280" s="1" t="s">
        <v>97</v>
      </c>
      <c r="D280" s="2">
        <v>1450</v>
      </c>
      <c r="E280" s="2">
        <v>36247</v>
      </c>
      <c r="F280" s="2">
        <f t="shared" si="17"/>
        <v>52558150</v>
      </c>
      <c r="G280" s="2">
        <v>893513000</v>
      </c>
      <c r="H280" s="2">
        <v>324784000</v>
      </c>
    </row>
    <row r="281" spans="1:8" x14ac:dyDescent="0.3">
      <c r="A281" s="1" t="s">
        <v>91</v>
      </c>
      <c r="B281" s="11">
        <v>2022</v>
      </c>
      <c r="C281" s="1" t="s">
        <v>98</v>
      </c>
      <c r="D281" s="2">
        <v>2000</v>
      </c>
      <c r="E281" s="2">
        <v>26279</v>
      </c>
      <c r="F281" s="2">
        <f t="shared" si="17"/>
        <v>52558000</v>
      </c>
      <c r="G281" s="2">
        <v>893513000</v>
      </c>
      <c r="H281" s="2">
        <v>324784000</v>
      </c>
    </row>
    <row r="282" spans="1:8" x14ac:dyDescent="0.3">
      <c r="A282" s="1" t="s">
        <v>91</v>
      </c>
      <c r="B282" s="11">
        <v>2022</v>
      </c>
      <c r="C282" s="1" t="s">
        <v>99</v>
      </c>
      <c r="D282" s="2">
        <v>2200</v>
      </c>
      <c r="E282" s="2">
        <v>23890</v>
      </c>
      <c r="F282" s="2">
        <f t="shared" si="17"/>
        <v>52558000</v>
      </c>
      <c r="G282" s="2">
        <v>893513000</v>
      </c>
      <c r="H282" s="2">
        <v>324784000</v>
      </c>
    </row>
    <row r="283" spans="1:8" x14ac:dyDescent="0.3">
      <c r="A283" s="1" t="s">
        <v>91</v>
      </c>
      <c r="B283" s="11">
        <v>2022</v>
      </c>
      <c r="C283" s="1" t="s">
        <v>100</v>
      </c>
      <c r="D283" s="2">
        <v>2300</v>
      </c>
      <c r="E283" s="2">
        <v>22851</v>
      </c>
      <c r="F283" s="2">
        <f t="shared" si="17"/>
        <v>52557300</v>
      </c>
      <c r="G283" s="2">
        <v>893513000</v>
      </c>
      <c r="H283" s="2">
        <v>324784000</v>
      </c>
    </row>
    <row r="284" spans="1:8" x14ac:dyDescent="0.3">
      <c r="A284" s="1" t="s">
        <v>91</v>
      </c>
      <c r="B284" s="11">
        <v>2022</v>
      </c>
      <c r="C284" s="1" t="s">
        <v>101</v>
      </c>
      <c r="D284" s="2">
        <v>1800</v>
      </c>
      <c r="E284" s="2">
        <v>29199</v>
      </c>
      <c r="F284" s="2">
        <f t="shared" si="17"/>
        <v>52558200</v>
      </c>
      <c r="G284" s="2">
        <v>893513000</v>
      </c>
      <c r="H284" s="2">
        <v>324784000</v>
      </c>
    </row>
    <row r="285" spans="1:8" x14ac:dyDescent="0.3">
      <c r="A285" s="1" t="s">
        <v>91</v>
      </c>
      <c r="B285" s="11">
        <v>2022</v>
      </c>
      <c r="C285" s="1" t="s">
        <v>102</v>
      </c>
      <c r="D285" s="2">
        <v>1700</v>
      </c>
      <c r="E285" s="2">
        <v>30917</v>
      </c>
      <c r="F285" s="2">
        <f t="shared" si="17"/>
        <v>52558900</v>
      </c>
      <c r="G285" s="2">
        <v>893513000</v>
      </c>
      <c r="H285" s="2">
        <v>324784000</v>
      </c>
    </row>
    <row r="286" spans="1:8" x14ac:dyDescent="0.3">
      <c r="A286" s="1" t="s">
        <v>91</v>
      </c>
      <c r="B286" s="11">
        <v>2022</v>
      </c>
      <c r="C286" s="1" t="s">
        <v>103</v>
      </c>
      <c r="D286" s="2">
        <v>1900</v>
      </c>
      <c r="E286" s="2">
        <v>27662</v>
      </c>
      <c r="F286" s="2">
        <f t="shared" si="17"/>
        <v>52557800</v>
      </c>
      <c r="G286" s="2">
        <v>893513000</v>
      </c>
      <c r="H286" s="2">
        <v>324784000</v>
      </c>
    </row>
    <row r="287" spans="1:8" x14ac:dyDescent="0.3">
      <c r="A287" s="1" t="s">
        <v>91</v>
      </c>
      <c r="B287" s="11">
        <v>2022</v>
      </c>
      <c r="C287" s="1" t="s">
        <v>104</v>
      </c>
      <c r="D287" s="2">
        <v>4000</v>
      </c>
      <c r="E287" s="2">
        <v>13139</v>
      </c>
      <c r="F287" s="2">
        <f t="shared" si="17"/>
        <v>52556000</v>
      </c>
      <c r="G287" s="2">
        <v>893513000</v>
      </c>
      <c r="H287" s="2">
        <v>324784000</v>
      </c>
    </row>
    <row r="288" spans="1:8" x14ac:dyDescent="0.3">
      <c r="A288" s="1" t="s">
        <v>91</v>
      </c>
      <c r="B288" s="11">
        <v>2022</v>
      </c>
      <c r="C288" s="1" t="s">
        <v>105</v>
      </c>
      <c r="D288" s="2">
        <v>650</v>
      </c>
      <c r="E288" s="2">
        <v>80860</v>
      </c>
      <c r="F288" s="2">
        <f t="shared" si="17"/>
        <v>52559000</v>
      </c>
      <c r="G288" s="2">
        <v>893513000</v>
      </c>
      <c r="H288" s="2">
        <v>324784000</v>
      </c>
    </row>
    <row r="289" spans="1:8" x14ac:dyDescent="0.3">
      <c r="A289" s="1" t="s">
        <v>91</v>
      </c>
      <c r="B289" s="11">
        <v>2022</v>
      </c>
      <c r="C289" s="1" t="s">
        <v>106</v>
      </c>
      <c r="D289" s="2">
        <v>1800</v>
      </c>
      <c r="E289" s="2">
        <v>29199</v>
      </c>
      <c r="F289" s="2">
        <f t="shared" si="17"/>
        <v>52558200</v>
      </c>
      <c r="G289" s="2">
        <v>893513000</v>
      </c>
      <c r="H289" s="2">
        <v>324784000</v>
      </c>
    </row>
    <row r="290" spans="1:8" x14ac:dyDescent="0.3">
      <c r="A290" s="1" t="s">
        <v>91</v>
      </c>
      <c r="B290" s="11">
        <v>2022</v>
      </c>
      <c r="C290" s="1" t="s">
        <v>107</v>
      </c>
      <c r="D290" s="2">
        <v>2800</v>
      </c>
      <c r="E290" s="2">
        <v>18771</v>
      </c>
      <c r="F290" s="2">
        <f t="shared" si="17"/>
        <v>52558800</v>
      </c>
      <c r="G290" s="2">
        <v>893513000</v>
      </c>
      <c r="H290" s="2">
        <v>324784000</v>
      </c>
    </row>
    <row r="291" spans="1:8" x14ac:dyDescent="0.3">
      <c r="A291" s="1" t="s">
        <v>91</v>
      </c>
      <c r="B291" s="11">
        <v>2022</v>
      </c>
      <c r="C291" s="1" t="s">
        <v>108</v>
      </c>
      <c r="D291" s="2">
        <v>4100</v>
      </c>
      <c r="E291" s="2">
        <v>12824</v>
      </c>
      <c r="F291" s="2">
        <f t="shared" si="17"/>
        <v>52578400</v>
      </c>
      <c r="G291" s="2">
        <v>893513000</v>
      </c>
      <c r="H291" s="2">
        <v>324784000</v>
      </c>
    </row>
    <row r="292" spans="1:8" x14ac:dyDescent="0.3">
      <c r="A292" s="1" t="s">
        <v>91</v>
      </c>
      <c r="B292" s="11">
        <v>2023</v>
      </c>
      <c r="C292" s="1" t="s">
        <v>92</v>
      </c>
      <c r="D292" s="2">
        <v>950</v>
      </c>
      <c r="E292" s="2">
        <v>59339</v>
      </c>
      <c r="F292" s="2">
        <f t="shared" si="17"/>
        <v>56372050</v>
      </c>
      <c r="G292" s="2">
        <v>958340000</v>
      </c>
      <c r="H292" s="2">
        <v>11958000</v>
      </c>
    </row>
    <row r="293" spans="1:8" x14ac:dyDescent="0.3">
      <c r="A293" s="1" t="s">
        <v>91</v>
      </c>
      <c r="B293" s="11">
        <v>2023</v>
      </c>
      <c r="C293" s="1" t="s">
        <v>93</v>
      </c>
      <c r="D293" s="2">
        <v>1100</v>
      </c>
      <c r="E293" s="2">
        <v>51248</v>
      </c>
      <c r="F293" s="2">
        <f t="shared" si="17"/>
        <v>56372800</v>
      </c>
      <c r="G293" s="2">
        <v>958340000</v>
      </c>
      <c r="H293" s="2">
        <v>11958000</v>
      </c>
    </row>
    <row r="294" spans="1:8" x14ac:dyDescent="0.3">
      <c r="A294" s="1" t="s">
        <v>91</v>
      </c>
      <c r="B294" s="11">
        <v>2023</v>
      </c>
      <c r="C294" s="1" t="s">
        <v>94</v>
      </c>
      <c r="D294" s="2">
        <v>1250</v>
      </c>
      <c r="E294" s="2">
        <v>45098</v>
      </c>
      <c r="F294" s="2">
        <f t="shared" si="17"/>
        <v>56372500</v>
      </c>
      <c r="G294" s="2">
        <v>958340000</v>
      </c>
      <c r="H294" s="2">
        <v>11958000</v>
      </c>
    </row>
    <row r="295" spans="1:8" x14ac:dyDescent="0.3">
      <c r="A295" s="1" t="s">
        <v>91</v>
      </c>
      <c r="B295" s="11">
        <v>2023</v>
      </c>
      <c r="C295" s="1" t="s">
        <v>95</v>
      </c>
      <c r="D295" s="2">
        <v>1300</v>
      </c>
      <c r="E295" s="2">
        <v>43363</v>
      </c>
      <c r="F295" s="2">
        <f t="shared" si="17"/>
        <v>56371900</v>
      </c>
      <c r="G295" s="2">
        <v>958340000</v>
      </c>
      <c r="H295" s="2">
        <v>11958000</v>
      </c>
    </row>
    <row r="296" spans="1:8" x14ac:dyDescent="0.3">
      <c r="A296" s="1" t="s">
        <v>91</v>
      </c>
      <c r="B296" s="11">
        <v>2023</v>
      </c>
      <c r="C296" s="1" t="s">
        <v>96</v>
      </c>
      <c r="D296" s="2">
        <v>1350</v>
      </c>
      <c r="E296" s="2">
        <v>41757</v>
      </c>
      <c r="F296" s="2">
        <f t="shared" si="17"/>
        <v>56371950</v>
      </c>
      <c r="G296" s="2">
        <v>958340000</v>
      </c>
      <c r="H296" s="2">
        <v>11958000</v>
      </c>
    </row>
    <row r="297" spans="1:8" x14ac:dyDescent="0.3">
      <c r="A297" s="1" t="s">
        <v>91</v>
      </c>
      <c r="B297" s="11">
        <v>2023</v>
      </c>
      <c r="C297" s="1" t="s">
        <v>97</v>
      </c>
      <c r="D297" s="2">
        <v>1450</v>
      </c>
      <c r="E297" s="2">
        <v>38877</v>
      </c>
      <c r="F297" s="2">
        <f t="shared" si="17"/>
        <v>56371650</v>
      </c>
      <c r="G297" s="2">
        <v>958340000</v>
      </c>
      <c r="H297" s="2">
        <v>11958000</v>
      </c>
    </row>
    <row r="298" spans="1:8" x14ac:dyDescent="0.3">
      <c r="A298" s="1" t="s">
        <v>91</v>
      </c>
      <c r="B298" s="11">
        <v>2023</v>
      </c>
      <c r="C298" s="1" t="s">
        <v>98</v>
      </c>
      <c r="D298" s="2">
        <v>2000</v>
      </c>
      <c r="E298" s="2">
        <v>28186</v>
      </c>
      <c r="F298" s="2">
        <f t="shared" si="17"/>
        <v>56372000</v>
      </c>
      <c r="G298" s="2">
        <v>958340000</v>
      </c>
      <c r="H298" s="2">
        <v>11958000</v>
      </c>
    </row>
    <row r="299" spans="1:8" x14ac:dyDescent="0.3">
      <c r="A299" s="1" t="s">
        <v>91</v>
      </c>
      <c r="B299" s="11">
        <v>2023</v>
      </c>
      <c r="C299" s="1" t="s">
        <v>99</v>
      </c>
      <c r="D299" s="2">
        <v>2200</v>
      </c>
      <c r="E299" s="2">
        <v>25624</v>
      </c>
      <c r="F299" s="2">
        <f t="shared" si="17"/>
        <v>56372800</v>
      </c>
      <c r="G299" s="2">
        <v>958340000</v>
      </c>
      <c r="H299" s="2">
        <v>11958000</v>
      </c>
    </row>
    <row r="300" spans="1:8" x14ac:dyDescent="0.3">
      <c r="A300" s="1" t="s">
        <v>91</v>
      </c>
      <c r="B300" s="11">
        <v>2023</v>
      </c>
      <c r="C300" s="1" t="s">
        <v>100</v>
      </c>
      <c r="D300" s="2">
        <v>2300</v>
      </c>
      <c r="E300" s="2">
        <v>24509</v>
      </c>
      <c r="F300" s="2">
        <f t="shared" si="17"/>
        <v>56370700</v>
      </c>
      <c r="G300" s="2">
        <v>958340000</v>
      </c>
      <c r="H300" s="2">
        <v>11958000</v>
      </c>
    </row>
    <row r="301" spans="1:8" x14ac:dyDescent="0.3">
      <c r="A301" s="1" t="s">
        <v>91</v>
      </c>
      <c r="B301" s="11">
        <v>2023</v>
      </c>
      <c r="C301" s="1" t="s">
        <v>101</v>
      </c>
      <c r="D301" s="2">
        <v>1800</v>
      </c>
      <c r="E301" s="2">
        <v>31318</v>
      </c>
      <c r="F301" s="2">
        <f t="shared" si="17"/>
        <v>56372400</v>
      </c>
      <c r="G301" s="2">
        <v>958340000</v>
      </c>
      <c r="H301" s="2">
        <v>11958000</v>
      </c>
    </row>
    <row r="302" spans="1:8" x14ac:dyDescent="0.3">
      <c r="A302" s="1" t="s">
        <v>91</v>
      </c>
      <c r="B302" s="11">
        <v>2023</v>
      </c>
      <c r="C302" s="1" t="s">
        <v>102</v>
      </c>
      <c r="D302" s="2">
        <v>1700</v>
      </c>
      <c r="E302" s="2">
        <v>33160</v>
      </c>
      <c r="F302" s="2">
        <f t="shared" si="17"/>
        <v>56372000</v>
      </c>
      <c r="G302" s="2">
        <v>958340000</v>
      </c>
      <c r="H302" s="2">
        <v>11958000</v>
      </c>
    </row>
    <row r="303" spans="1:8" x14ac:dyDescent="0.3">
      <c r="A303" s="1" t="s">
        <v>91</v>
      </c>
      <c r="B303" s="11">
        <v>2023</v>
      </c>
      <c r="C303" s="1" t="s">
        <v>103</v>
      </c>
      <c r="D303" s="2">
        <v>1900</v>
      </c>
      <c r="E303" s="2">
        <v>29669</v>
      </c>
      <c r="F303" s="2">
        <f t="shared" si="17"/>
        <v>56371100</v>
      </c>
      <c r="G303" s="2">
        <v>958340000</v>
      </c>
      <c r="H303" s="2">
        <v>11958000</v>
      </c>
    </row>
    <row r="304" spans="1:8" x14ac:dyDescent="0.3">
      <c r="A304" s="1" t="s">
        <v>91</v>
      </c>
      <c r="B304" s="11">
        <v>2023</v>
      </c>
      <c r="C304" s="1" t="s">
        <v>104</v>
      </c>
      <c r="D304" s="2">
        <v>4000</v>
      </c>
      <c r="E304" s="2">
        <v>14093</v>
      </c>
      <c r="F304" s="2">
        <f t="shared" si="17"/>
        <v>56372000</v>
      </c>
      <c r="G304" s="2">
        <v>958340000</v>
      </c>
      <c r="H304" s="2">
        <v>11958000</v>
      </c>
    </row>
    <row r="305" spans="1:8" x14ac:dyDescent="0.3">
      <c r="A305" s="1" t="s">
        <v>91</v>
      </c>
      <c r="B305" s="11">
        <v>2023</v>
      </c>
      <c r="C305" s="1" t="s">
        <v>105</v>
      </c>
      <c r="D305" s="2">
        <v>650</v>
      </c>
      <c r="E305" s="2">
        <v>86727</v>
      </c>
      <c r="F305" s="2">
        <f t="shared" si="17"/>
        <v>56372550</v>
      </c>
      <c r="G305" s="2">
        <v>958340000</v>
      </c>
      <c r="H305" s="2">
        <v>11958000</v>
      </c>
    </row>
    <row r="306" spans="1:8" x14ac:dyDescent="0.3">
      <c r="A306" s="1" t="s">
        <v>91</v>
      </c>
      <c r="B306" s="11">
        <v>2023</v>
      </c>
      <c r="C306" s="1" t="s">
        <v>106</v>
      </c>
      <c r="D306" s="2">
        <v>1800</v>
      </c>
      <c r="E306" s="2">
        <v>31318</v>
      </c>
      <c r="F306" s="2">
        <f t="shared" si="17"/>
        <v>56372400</v>
      </c>
      <c r="G306" s="2">
        <v>958340000</v>
      </c>
      <c r="H306" s="2">
        <v>11958000</v>
      </c>
    </row>
    <row r="307" spans="1:8" x14ac:dyDescent="0.3">
      <c r="A307" s="1" t="s">
        <v>91</v>
      </c>
      <c r="B307" s="11">
        <v>2023</v>
      </c>
      <c r="C307" s="1" t="s">
        <v>107</v>
      </c>
      <c r="D307" s="2">
        <v>2800</v>
      </c>
      <c r="E307" s="2">
        <v>20133</v>
      </c>
      <c r="F307" s="2">
        <f t="shared" si="17"/>
        <v>56372400</v>
      </c>
      <c r="G307" s="2">
        <v>958340000</v>
      </c>
      <c r="H307" s="2">
        <v>11958000</v>
      </c>
    </row>
    <row r="308" spans="1:8" x14ac:dyDescent="0.3">
      <c r="A308" s="1" t="s">
        <v>91</v>
      </c>
      <c r="B308" s="11">
        <v>2023</v>
      </c>
      <c r="C308" s="1" t="s">
        <v>108</v>
      </c>
      <c r="D308" s="2">
        <v>4100</v>
      </c>
      <c r="E308" s="2">
        <v>13753</v>
      </c>
      <c r="F308" s="2">
        <f t="shared" si="17"/>
        <v>56387300</v>
      </c>
      <c r="G308" s="2">
        <v>958340000</v>
      </c>
      <c r="H308" s="2">
        <v>11958000</v>
      </c>
    </row>
    <row r="309" spans="1:8" x14ac:dyDescent="0.3">
      <c r="A309" s="1" t="s">
        <v>91</v>
      </c>
      <c r="B309" s="11">
        <v>2024</v>
      </c>
      <c r="C309" s="1" t="s">
        <v>92</v>
      </c>
      <c r="D309" s="2">
        <v>950</v>
      </c>
      <c r="E309" s="2">
        <v>226598</v>
      </c>
      <c r="F309" s="2">
        <f t="shared" si="17"/>
        <v>215268100</v>
      </c>
      <c r="G309" s="2">
        <v>3659559000</v>
      </c>
      <c r="H309" s="2">
        <v>106833000</v>
      </c>
    </row>
    <row r="310" spans="1:8" x14ac:dyDescent="0.3">
      <c r="A310" s="1" t="s">
        <v>91</v>
      </c>
      <c r="B310" s="11">
        <v>2024</v>
      </c>
      <c r="C310" s="1" t="s">
        <v>93</v>
      </c>
      <c r="D310" s="2">
        <v>1100</v>
      </c>
      <c r="E310" s="2">
        <v>195698</v>
      </c>
      <c r="F310" s="2">
        <f t="shared" si="17"/>
        <v>215267800</v>
      </c>
      <c r="G310" s="2">
        <v>3659559000</v>
      </c>
      <c r="H310" s="2">
        <v>106833000</v>
      </c>
    </row>
    <row r="311" spans="1:8" x14ac:dyDescent="0.3">
      <c r="A311" s="1" t="s">
        <v>91</v>
      </c>
      <c r="B311" s="11">
        <v>2024</v>
      </c>
      <c r="C311" s="1" t="s">
        <v>94</v>
      </c>
      <c r="D311" s="2">
        <v>1250</v>
      </c>
      <c r="E311" s="2">
        <v>172214</v>
      </c>
      <c r="F311" s="2">
        <f t="shared" si="17"/>
        <v>215267500</v>
      </c>
      <c r="G311" s="2">
        <v>3659559000</v>
      </c>
      <c r="H311" s="2">
        <v>106833000</v>
      </c>
    </row>
    <row r="312" spans="1:8" x14ac:dyDescent="0.3">
      <c r="A312" s="1" t="s">
        <v>91</v>
      </c>
      <c r="B312" s="11">
        <v>2024</v>
      </c>
      <c r="C312" s="1" t="s">
        <v>95</v>
      </c>
      <c r="D312" s="2">
        <v>1300</v>
      </c>
      <c r="E312" s="2">
        <v>165590</v>
      </c>
      <c r="F312" s="2">
        <f t="shared" si="17"/>
        <v>215267000</v>
      </c>
      <c r="G312" s="2">
        <v>3659559000</v>
      </c>
      <c r="H312" s="2">
        <v>106833000</v>
      </c>
    </row>
    <row r="313" spans="1:8" x14ac:dyDescent="0.3">
      <c r="A313" s="1" t="s">
        <v>91</v>
      </c>
      <c r="B313" s="11">
        <v>2024</v>
      </c>
      <c r="C313" s="1" t="s">
        <v>96</v>
      </c>
      <c r="D313" s="2">
        <v>1350</v>
      </c>
      <c r="E313" s="2">
        <v>159457</v>
      </c>
      <c r="F313" s="2">
        <f t="shared" si="17"/>
        <v>215266950</v>
      </c>
      <c r="G313" s="2">
        <v>3659559000</v>
      </c>
      <c r="H313" s="2">
        <v>106833000</v>
      </c>
    </row>
    <row r="314" spans="1:8" x14ac:dyDescent="0.3">
      <c r="A314" s="1" t="s">
        <v>91</v>
      </c>
      <c r="B314" s="11">
        <v>2024</v>
      </c>
      <c r="C314" s="1" t="s">
        <v>97</v>
      </c>
      <c r="D314" s="2">
        <v>1450</v>
      </c>
      <c r="E314" s="2">
        <v>148460</v>
      </c>
      <c r="F314" s="2">
        <f t="shared" si="17"/>
        <v>215267000</v>
      </c>
      <c r="G314" s="2">
        <v>3659559000</v>
      </c>
      <c r="H314" s="2">
        <v>106833000</v>
      </c>
    </row>
    <row r="315" spans="1:8" x14ac:dyDescent="0.3">
      <c r="A315" s="1" t="s">
        <v>91</v>
      </c>
      <c r="B315" s="11">
        <v>2024</v>
      </c>
      <c r="C315" s="1" t="s">
        <v>98</v>
      </c>
      <c r="D315" s="2">
        <v>2000</v>
      </c>
      <c r="E315" s="2">
        <v>107634</v>
      </c>
      <c r="F315" s="2">
        <f t="shared" si="17"/>
        <v>215268000</v>
      </c>
      <c r="G315" s="2">
        <v>3659559000</v>
      </c>
      <c r="H315" s="2">
        <v>106833000</v>
      </c>
    </row>
    <row r="316" spans="1:8" x14ac:dyDescent="0.3">
      <c r="A316" s="1" t="s">
        <v>91</v>
      </c>
      <c r="B316" s="11">
        <v>2024</v>
      </c>
      <c r="C316" s="1" t="s">
        <v>99</v>
      </c>
      <c r="D316" s="2">
        <v>2200</v>
      </c>
      <c r="E316" s="2">
        <v>97849</v>
      </c>
      <c r="F316" s="2">
        <f t="shared" si="17"/>
        <v>215267800</v>
      </c>
      <c r="G316" s="2">
        <v>3659559000</v>
      </c>
      <c r="H316" s="2">
        <v>106833000</v>
      </c>
    </row>
    <row r="317" spans="1:8" x14ac:dyDescent="0.3">
      <c r="A317" s="1" t="s">
        <v>91</v>
      </c>
      <c r="B317" s="11">
        <v>2024</v>
      </c>
      <c r="C317" s="1" t="s">
        <v>100</v>
      </c>
      <c r="D317" s="2">
        <v>2300</v>
      </c>
      <c r="E317" s="2">
        <v>93594</v>
      </c>
      <c r="F317" s="2">
        <f t="shared" si="17"/>
        <v>215266200</v>
      </c>
      <c r="G317" s="2">
        <v>3659559000</v>
      </c>
      <c r="H317" s="2">
        <v>106833000</v>
      </c>
    </row>
    <row r="318" spans="1:8" x14ac:dyDescent="0.3">
      <c r="A318" s="1" t="s">
        <v>91</v>
      </c>
      <c r="B318" s="11">
        <v>2024</v>
      </c>
      <c r="C318" s="1" t="s">
        <v>101</v>
      </c>
      <c r="D318" s="2">
        <v>1800</v>
      </c>
      <c r="E318" s="2">
        <v>119593</v>
      </c>
      <c r="F318" s="2">
        <f t="shared" si="17"/>
        <v>215267400</v>
      </c>
      <c r="G318" s="2">
        <v>3659559000</v>
      </c>
      <c r="H318" s="2">
        <v>106833000</v>
      </c>
    </row>
    <row r="319" spans="1:8" x14ac:dyDescent="0.3">
      <c r="A319" s="1" t="s">
        <v>91</v>
      </c>
      <c r="B319" s="11">
        <v>2024</v>
      </c>
      <c r="C319" s="1" t="s">
        <v>102</v>
      </c>
      <c r="D319" s="2">
        <v>1700</v>
      </c>
      <c r="E319" s="2">
        <v>126628</v>
      </c>
      <c r="F319" s="2">
        <f t="shared" si="17"/>
        <v>215267600</v>
      </c>
      <c r="G319" s="2">
        <v>3659559000</v>
      </c>
      <c r="H319" s="2">
        <v>106833000</v>
      </c>
    </row>
    <row r="320" spans="1:8" x14ac:dyDescent="0.3">
      <c r="A320" s="1" t="s">
        <v>91</v>
      </c>
      <c r="B320" s="11">
        <v>2024</v>
      </c>
      <c r="C320" s="1" t="s">
        <v>103</v>
      </c>
      <c r="D320" s="2">
        <v>1900</v>
      </c>
      <c r="E320" s="2">
        <v>113299</v>
      </c>
      <c r="F320" s="2">
        <f t="shared" si="17"/>
        <v>215268100</v>
      </c>
      <c r="G320" s="2">
        <v>3659559000</v>
      </c>
      <c r="H320" s="2">
        <v>106833000</v>
      </c>
    </row>
    <row r="321" spans="1:8" x14ac:dyDescent="0.3">
      <c r="A321" s="1" t="s">
        <v>91</v>
      </c>
      <c r="B321" s="11">
        <v>2024</v>
      </c>
      <c r="C321" s="1" t="s">
        <v>104</v>
      </c>
      <c r="D321" s="2">
        <v>4000</v>
      </c>
      <c r="E321" s="2">
        <v>53817</v>
      </c>
      <c r="F321" s="2">
        <f t="shared" si="17"/>
        <v>215268000</v>
      </c>
      <c r="G321" s="2">
        <v>3659559000</v>
      </c>
      <c r="H321" s="2">
        <v>106833000</v>
      </c>
    </row>
    <row r="322" spans="1:8" x14ac:dyDescent="0.3">
      <c r="A322" s="1" t="s">
        <v>91</v>
      </c>
      <c r="B322" s="11">
        <v>2024</v>
      </c>
      <c r="C322" s="1" t="s">
        <v>105</v>
      </c>
      <c r="D322" s="2">
        <v>650</v>
      </c>
      <c r="E322" s="2">
        <v>331181</v>
      </c>
      <c r="F322" s="2">
        <f t="shared" si="17"/>
        <v>215267650</v>
      </c>
      <c r="G322" s="2">
        <v>3659559000</v>
      </c>
      <c r="H322" s="2">
        <v>106833000</v>
      </c>
    </row>
    <row r="323" spans="1:8" x14ac:dyDescent="0.3">
      <c r="A323" s="1" t="s">
        <v>91</v>
      </c>
      <c r="B323" s="11">
        <v>2024</v>
      </c>
      <c r="C323" s="1" t="s">
        <v>106</v>
      </c>
      <c r="D323" s="2">
        <v>1800</v>
      </c>
      <c r="E323" s="2">
        <v>119593</v>
      </c>
      <c r="F323" s="2">
        <f t="shared" si="17"/>
        <v>215267400</v>
      </c>
      <c r="G323" s="2">
        <v>3659559000</v>
      </c>
      <c r="H323" s="2">
        <v>106833000</v>
      </c>
    </row>
    <row r="324" spans="1:8" x14ac:dyDescent="0.3">
      <c r="A324" s="1" t="s">
        <v>91</v>
      </c>
      <c r="B324" s="11">
        <v>2024</v>
      </c>
      <c r="C324" s="1" t="s">
        <v>107</v>
      </c>
      <c r="D324" s="2">
        <v>2800</v>
      </c>
      <c r="E324" s="2">
        <v>76881</v>
      </c>
      <c r="F324" s="2">
        <f t="shared" si="17"/>
        <v>215266800</v>
      </c>
      <c r="G324" s="2">
        <v>3659559000</v>
      </c>
      <c r="H324" s="2">
        <v>106833000</v>
      </c>
    </row>
    <row r="325" spans="1:8" x14ac:dyDescent="0.3">
      <c r="A325" s="1" t="s">
        <v>91</v>
      </c>
      <c r="B325" s="11">
        <v>2024</v>
      </c>
      <c r="C325" s="1" t="s">
        <v>108</v>
      </c>
      <c r="D325" s="2">
        <v>4100</v>
      </c>
      <c r="E325" s="2">
        <v>52507</v>
      </c>
      <c r="F325" s="2">
        <f t="shared" si="17"/>
        <v>215278700</v>
      </c>
      <c r="G325" s="2">
        <v>3659559000</v>
      </c>
      <c r="H325" s="2">
        <v>106833000</v>
      </c>
    </row>
    <row r="326" spans="1:8" x14ac:dyDescent="0.3">
      <c r="A326" s="1" t="s">
        <v>109</v>
      </c>
      <c r="B326" s="11">
        <v>2022</v>
      </c>
      <c r="C326" s="1" t="s">
        <v>110</v>
      </c>
      <c r="D326" s="2">
        <v>57480</v>
      </c>
      <c r="E326" s="2">
        <v>35</v>
      </c>
      <c r="F326" s="2">
        <f>E326*D326</f>
        <v>2011800</v>
      </c>
      <c r="G326" s="2">
        <v>30538000</v>
      </c>
      <c r="H326" s="2">
        <v>373000</v>
      </c>
    </row>
    <row r="327" spans="1:8" x14ac:dyDescent="0.3">
      <c r="A327" s="1" t="s">
        <v>109</v>
      </c>
      <c r="B327" s="11">
        <v>2022</v>
      </c>
      <c r="C327" s="1" t="s">
        <v>111</v>
      </c>
      <c r="D327" s="2">
        <v>51730</v>
      </c>
      <c r="E327" s="2">
        <v>39</v>
      </c>
      <c r="F327" s="2">
        <f t="shared" ref="F327:F338" si="18">E327*D327</f>
        <v>2017470</v>
      </c>
      <c r="G327" s="2">
        <v>30538000</v>
      </c>
      <c r="H327" s="2">
        <v>373000</v>
      </c>
    </row>
    <row r="328" spans="1:8" x14ac:dyDescent="0.3">
      <c r="A328" s="1" t="s">
        <v>109</v>
      </c>
      <c r="B328" s="11">
        <v>2022</v>
      </c>
      <c r="C328" s="1" t="s">
        <v>112</v>
      </c>
      <c r="D328" s="2">
        <v>45620</v>
      </c>
      <c r="E328" s="2">
        <v>44</v>
      </c>
      <c r="F328" s="2">
        <f t="shared" si="18"/>
        <v>2007280</v>
      </c>
      <c r="G328" s="2">
        <v>30538000</v>
      </c>
      <c r="H328" s="2">
        <v>373000</v>
      </c>
    </row>
    <row r="329" spans="1:8" x14ac:dyDescent="0.3">
      <c r="A329" s="1" t="s">
        <v>109</v>
      </c>
      <c r="B329" s="11">
        <v>2022</v>
      </c>
      <c r="C329" s="1" t="s">
        <v>113</v>
      </c>
      <c r="D329" s="2">
        <v>38960</v>
      </c>
      <c r="E329" s="2">
        <v>52</v>
      </c>
      <c r="F329" s="2">
        <f t="shared" si="18"/>
        <v>2025920</v>
      </c>
      <c r="G329" s="2">
        <v>30538000</v>
      </c>
      <c r="H329" s="2">
        <v>373000</v>
      </c>
    </row>
    <row r="330" spans="1:8" x14ac:dyDescent="0.3">
      <c r="A330" s="1" t="s">
        <v>109</v>
      </c>
      <c r="B330" s="11">
        <v>2022</v>
      </c>
      <c r="C330" s="1" t="s">
        <v>114</v>
      </c>
      <c r="D330" s="2">
        <v>37080</v>
      </c>
      <c r="E330" s="2">
        <v>54</v>
      </c>
      <c r="F330" s="2">
        <f t="shared" si="18"/>
        <v>2002320</v>
      </c>
      <c r="G330" s="2">
        <v>30538000</v>
      </c>
      <c r="H330" s="2">
        <v>373000</v>
      </c>
    </row>
    <row r="331" spans="1:8" x14ac:dyDescent="0.3">
      <c r="A331" s="1" t="s">
        <v>109</v>
      </c>
      <c r="B331" s="11">
        <v>2022</v>
      </c>
      <c r="C331" s="1" t="s">
        <v>115</v>
      </c>
      <c r="D331" s="2">
        <v>36370</v>
      </c>
      <c r="E331" s="2">
        <v>55</v>
      </c>
      <c r="F331" s="2">
        <f t="shared" si="18"/>
        <v>2000350</v>
      </c>
      <c r="G331" s="2">
        <v>30538000</v>
      </c>
      <c r="H331" s="2">
        <v>373000</v>
      </c>
    </row>
    <row r="332" spans="1:8" x14ac:dyDescent="0.3">
      <c r="A332" s="1" t="s">
        <v>109</v>
      </c>
      <c r="B332" s="11">
        <v>2022</v>
      </c>
      <c r="C332" s="1" t="s">
        <v>116</v>
      </c>
      <c r="D332" s="2">
        <v>33110</v>
      </c>
      <c r="E332" s="2">
        <v>61</v>
      </c>
      <c r="F332" s="2">
        <f t="shared" si="18"/>
        <v>2019710</v>
      </c>
      <c r="G332" s="2">
        <v>30538000</v>
      </c>
      <c r="H332" s="2">
        <v>373000</v>
      </c>
    </row>
    <row r="333" spans="1:8" x14ac:dyDescent="0.3">
      <c r="A333" s="1" t="s">
        <v>109</v>
      </c>
      <c r="B333" s="11">
        <v>2022</v>
      </c>
      <c r="C333" s="1" t="s">
        <v>111</v>
      </c>
      <c r="D333" s="2">
        <v>58650</v>
      </c>
      <c r="E333" s="2">
        <v>34</v>
      </c>
      <c r="F333" s="2">
        <f t="shared" si="18"/>
        <v>1994100</v>
      </c>
      <c r="G333" s="2">
        <v>30538000</v>
      </c>
      <c r="H333" s="2">
        <v>373000</v>
      </c>
    </row>
    <row r="334" spans="1:8" x14ac:dyDescent="0.3">
      <c r="A334" s="1" t="s">
        <v>109</v>
      </c>
      <c r="B334" s="11">
        <v>2022</v>
      </c>
      <c r="C334" s="1" t="s">
        <v>112</v>
      </c>
      <c r="D334" s="2">
        <v>52030</v>
      </c>
      <c r="E334" s="2">
        <v>39</v>
      </c>
      <c r="F334" s="2">
        <f t="shared" si="18"/>
        <v>2029170</v>
      </c>
      <c r="G334" s="2">
        <v>30538000</v>
      </c>
      <c r="H334" s="2">
        <v>373000</v>
      </c>
    </row>
    <row r="335" spans="1:8" x14ac:dyDescent="0.3">
      <c r="A335" s="1" t="s">
        <v>109</v>
      </c>
      <c r="B335" s="11">
        <v>2022</v>
      </c>
      <c r="C335" s="1" t="s">
        <v>113</v>
      </c>
      <c r="D335" s="2">
        <v>44100</v>
      </c>
      <c r="E335" s="2">
        <v>46</v>
      </c>
      <c r="F335" s="2">
        <f t="shared" si="18"/>
        <v>2028600</v>
      </c>
      <c r="G335" s="2">
        <v>30538000</v>
      </c>
      <c r="H335" s="2">
        <v>373000</v>
      </c>
    </row>
    <row r="336" spans="1:8" x14ac:dyDescent="0.3">
      <c r="A336" s="1" t="s">
        <v>109</v>
      </c>
      <c r="B336" s="11">
        <v>2022</v>
      </c>
      <c r="C336" s="1" t="s">
        <v>114</v>
      </c>
      <c r="D336" s="2">
        <v>43640</v>
      </c>
      <c r="E336" s="2">
        <v>46</v>
      </c>
      <c r="F336" s="2">
        <f t="shared" si="18"/>
        <v>2007440</v>
      </c>
      <c r="G336" s="2">
        <v>30538000</v>
      </c>
      <c r="H336" s="2">
        <v>373000</v>
      </c>
    </row>
    <row r="337" spans="1:8" x14ac:dyDescent="0.3">
      <c r="A337" s="1" t="s">
        <v>109</v>
      </c>
      <c r="B337" s="11">
        <v>2022</v>
      </c>
      <c r="C337" s="1" t="s">
        <v>115</v>
      </c>
      <c r="D337" s="2">
        <v>41350</v>
      </c>
      <c r="E337" s="2">
        <v>49</v>
      </c>
      <c r="F337" s="2">
        <f t="shared" si="18"/>
        <v>2026150</v>
      </c>
      <c r="G337" s="2">
        <v>30538000</v>
      </c>
      <c r="H337" s="2">
        <v>373000</v>
      </c>
    </row>
    <row r="338" spans="1:8" x14ac:dyDescent="0.3">
      <c r="A338" s="1" t="s">
        <v>109</v>
      </c>
      <c r="B338" s="11">
        <v>2022</v>
      </c>
      <c r="C338" s="1" t="s">
        <v>116</v>
      </c>
      <c r="D338" s="2">
        <v>37640</v>
      </c>
      <c r="E338" s="2">
        <v>169</v>
      </c>
      <c r="F338" s="2">
        <f t="shared" si="18"/>
        <v>6361160</v>
      </c>
      <c r="G338" s="2">
        <v>30538000</v>
      </c>
      <c r="H338" s="2">
        <v>373000</v>
      </c>
    </row>
    <row r="339" spans="1:8" x14ac:dyDescent="0.3">
      <c r="A339" s="1" t="s">
        <v>109</v>
      </c>
      <c r="B339" s="11">
        <v>2023</v>
      </c>
      <c r="C339" s="1" t="s">
        <v>110</v>
      </c>
      <c r="D339" s="2">
        <v>57480</v>
      </c>
      <c r="E339" s="2">
        <v>22</v>
      </c>
      <c r="F339" s="2">
        <f>E339*D339</f>
        <v>1264560</v>
      </c>
      <c r="G339" s="2">
        <v>19535000</v>
      </c>
      <c r="H339" s="2">
        <v>963000</v>
      </c>
    </row>
    <row r="340" spans="1:8" x14ac:dyDescent="0.3">
      <c r="A340" s="1" t="s">
        <v>109</v>
      </c>
      <c r="B340" s="11">
        <v>2023</v>
      </c>
      <c r="C340" s="1" t="s">
        <v>111</v>
      </c>
      <c r="D340" s="2">
        <v>51730</v>
      </c>
      <c r="E340" s="2">
        <v>25</v>
      </c>
      <c r="F340" s="2">
        <f t="shared" ref="F340:F351" si="19">E340*D340</f>
        <v>1293250</v>
      </c>
      <c r="G340" s="2">
        <v>19535000</v>
      </c>
      <c r="H340" s="2">
        <v>963000</v>
      </c>
    </row>
    <row r="341" spans="1:8" x14ac:dyDescent="0.3">
      <c r="A341" s="1" t="s">
        <v>109</v>
      </c>
      <c r="B341" s="11">
        <v>2023</v>
      </c>
      <c r="C341" s="1" t="s">
        <v>112</v>
      </c>
      <c r="D341" s="2">
        <v>45620</v>
      </c>
      <c r="E341" s="2">
        <v>28</v>
      </c>
      <c r="F341" s="2">
        <f t="shared" si="19"/>
        <v>1277360</v>
      </c>
      <c r="G341" s="2">
        <v>19535000</v>
      </c>
      <c r="H341" s="2">
        <v>963000</v>
      </c>
    </row>
    <row r="342" spans="1:8" x14ac:dyDescent="0.3">
      <c r="A342" s="1" t="s">
        <v>109</v>
      </c>
      <c r="B342" s="11">
        <v>2023</v>
      </c>
      <c r="C342" s="1" t="s">
        <v>113</v>
      </c>
      <c r="D342" s="2">
        <v>38960</v>
      </c>
      <c r="E342" s="2">
        <v>33</v>
      </c>
      <c r="F342" s="2">
        <f t="shared" si="19"/>
        <v>1285680</v>
      </c>
      <c r="G342" s="2">
        <v>19535000</v>
      </c>
      <c r="H342" s="2">
        <v>963000</v>
      </c>
    </row>
    <row r="343" spans="1:8" x14ac:dyDescent="0.3">
      <c r="A343" s="1" t="s">
        <v>109</v>
      </c>
      <c r="B343" s="11">
        <v>2023</v>
      </c>
      <c r="C343" s="1" t="s">
        <v>114</v>
      </c>
      <c r="D343" s="2">
        <v>37080</v>
      </c>
      <c r="E343" s="2">
        <v>35</v>
      </c>
      <c r="F343" s="2">
        <f t="shared" si="19"/>
        <v>1297800</v>
      </c>
      <c r="G343" s="2">
        <v>19535000</v>
      </c>
      <c r="H343" s="2">
        <v>963000</v>
      </c>
    </row>
    <row r="344" spans="1:8" x14ac:dyDescent="0.3">
      <c r="A344" s="1" t="s">
        <v>109</v>
      </c>
      <c r="B344" s="11">
        <v>2023</v>
      </c>
      <c r="C344" s="1" t="s">
        <v>115</v>
      </c>
      <c r="D344" s="2">
        <v>36370</v>
      </c>
      <c r="E344" s="2">
        <v>35</v>
      </c>
      <c r="F344" s="2">
        <f t="shared" si="19"/>
        <v>1272950</v>
      </c>
      <c r="G344" s="2">
        <v>19535000</v>
      </c>
      <c r="H344" s="2">
        <v>963000</v>
      </c>
    </row>
    <row r="345" spans="1:8" x14ac:dyDescent="0.3">
      <c r="A345" s="1" t="s">
        <v>109</v>
      </c>
      <c r="B345" s="11">
        <v>2023</v>
      </c>
      <c r="C345" s="1" t="s">
        <v>116</v>
      </c>
      <c r="D345" s="2">
        <v>33110</v>
      </c>
      <c r="E345" s="2">
        <v>39</v>
      </c>
      <c r="F345" s="2">
        <f t="shared" si="19"/>
        <v>1291290</v>
      </c>
      <c r="G345" s="2">
        <v>19535000</v>
      </c>
      <c r="H345" s="2">
        <v>963000</v>
      </c>
    </row>
    <row r="346" spans="1:8" x14ac:dyDescent="0.3">
      <c r="A346" s="1" t="s">
        <v>109</v>
      </c>
      <c r="B346" s="11">
        <v>2023</v>
      </c>
      <c r="C346" s="1" t="s">
        <v>111</v>
      </c>
      <c r="D346" s="2">
        <v>58650</v>
      </c>
      <c r="E346" s="2">
        <v>22</v>
      </c>
      <c r="F346" s="2">
        <f t="shared" si="19"/>
        <v>1290300</v>
      </c>
      <c r="G346" s="2">
        <v>19535000</v>
      </c>
      <c r="H346" s="2">
        <v>963000</v>
      </c>
    </row>
    <row r="347" spans="1:8" x14ac:dyDescent="0.3">
      <c r="A347" s="1" t="s">
        <v>109</v>
      </c>
      <c r="B347" s="11">
        <v>2023</v>
      </c>
      <c r="C347" s="1" t="s">
        <v>112</v>
      </c>
      <c r="D347" s="2">
        <v>52030</v>
      </c>
      <c r="E347" s="2">
        <v>25</v>
      </c>
      <c r="F347" s="2">
        <f t="shared" si="19"/>
        <v>1300750</v>
      </c>
      <c r="G347" s="2">
        <v>19535000</v>
      </c>
      <c r="H347" s="2">
        <v>963000</v>
      </c>
    </row>
    <row r="348" spans="1:8" x14ac:dyDescent="0.3">
      <c r="A348" s="1" t="s">
        <v>109</v>
      </c>
      <c r="B348" s="11">
        <v>2023</v>
      </c>
      <c r="C348" s="1" t="s">
        <v>113</v>
      </c>
      <c r="D348" s="2">
        <v>44100</v>
      </c>
      <c r="E348" s="2">
        <v>29</v>
      </c>
      <c r="F348" s="2">
        <f t="shared" si="19"/>
        <v>1278900</v>
      </c>
      <c r="G348" s="2">
        <v>19535000</v>
      </c>
      <c r="H348" s="2">
        <v>963000</v>
      </c>
    </row>
    <row r="349" spans="1:8" x14ac:dyDescent="0.3">
      <c r="A349" s="1" t="s">
        <v>109</v>
      </c>
      <c r="B349" s="11">
        <v>2023</v>
      </c>
      <c r="C349" s="1" t="s">
        <v>114</v>
      </c>
      <c r="D349" s="2">
        <v>43640</v>
      </c>
      <c r="E349" s="2">
        <v>29</v>
      </c>
      <c r="F349" s="2">
        <f t="shared" si="19"/>
        <v>1265560</v>
      </c>
      <c r="G349" s="2">
        <v>19535000</v>
      </c>
      <c r="H349" s="2">
        <v>963000</v>
      </c>
    </row>
    <row r="350" spans="1:8" x14ac:dyDescent="0.3">
      <c r="A350" s="1" t="s">
        <v>109</v>
      </c>
      <c r="B350" s="11">
        <v>2023</v>
      </c>
      <c r="C350" s="1" t="s">
        <v>115</v>
      </c>
      <c r="D350" s="2">
        <v>41350</v>
      </c>
      <c r="E350" s="2">
        <v>31</v>
      </c>
      <c r="F350" s="2">
        <f t="shared" si="19"/>
        <v>1281850</v>
      </c>
      <c r="G350" s="2">
        <v>19535000</v>
      </c>
      <c r="H350" s="2">
        <v>963000</v>
      </c>
    </row>
    <row r="351" spans="1:8" x14ac:dyDescent="0.3">
      <c r="A351" s="1" t="s">
        <v>109</v>
      </c>
      <c r="B351" s="11">
        <v>2023</v>
      </c>
      <c r="C351" s="1" t="s">
        <v>116</v>
      </c>
      <c r="D351" s="2">
        <v>37640</v>
      </c>
      <c r="E351" s="2">
        <v>109</v>
      </c>
      <c r="F351" s="2">
        <f t="shared" si="19"/>
        <v>4102760</v>
      </c>
      <c r="G351" s="2">
        <v>19535000</v>
      </c>
      <c r="H351" s="2">
        <v>963000</v>
      </c>
    </row>
    <row r="352" spans="1:8" x14ac:dyDescent="0.3">
      <c r="A352" s="1" t="s">
        <v>109</v>
      </c>
      <c r="B352" s="11">
        <v>2024</v>
      </c>
      <c r="C352" s="1" t="s">
        <v>110</v>
      </c>
      <c r="D352" s="2">
        <v>57480</v>
      </c>
      <c r="E352" s="2">
        <v>90</v>
      </c>
      <c r="F352" s="2">
        <f>E352*D352</f>
        <v>5173200</v>
      </c>
      <c r="G352" s="2">
        <v>78213000</v>
      </c>
      <c r="H352" s="2">
        <v>1027000</v>
      </c>
    </row>
    <row r="353" spans="1:8" x14ac:dyDescent="0.3">
      <c r="A353" s="1" t="s">
        <v>109</v>
      </c>
      <c r="B353" s="11">
        <v>2024</v>
      </c>
      <c r="C353" s="1" t="s">
        <v>111</v>
      </c>
      <c r="D353" s="2">
        <v>51730</v>
      </c>
      <c r="E353" s="2">
        <v>100</v>
      </c>
      <c r="F353" s="2">
        <f t="shared" ref="F353:F364" si="20">E353*D353</f>
        <v>5173000</v>
      </c>
      <c r="G353" s="2">
        <v>78213000</v>
      </c>
      <c r="H353" s="2">
        <v>1027000</v>
      </c>
    </row>
    <row r="354" spans="1:8" x14ac:dyDescent="0.3">
      <c r="A354" s="1" t="s">
        <v>109</v>
      </c>
      <c r="B354" s="11">
        <v>2024</v>
      </c>
      <c r="C354" s="1" t="s">
        <v>112</v>
      </c>
      <c r="D354" s="2">
        <v>45620</v>
      </c>
      <c r="E354" s="2">
        <v>114</v>
      </c>
      <c r="F354" s="2">
        <f t="shared" si="20"/>
        <v>5200680</v>
      </c>
      <c r="G354" s="2">
        <v>78213000</v>
      </c>
      <c r="H354" s="2">
        <v>1027000</v>
      </c>
    </row>
    <row r="355" spans="1:8" x14ac:dyDescent="0.3">
      <c r="A355" s="1" t="s">
        <v>109</v>
      </c>
      <c r="B355" s="11">
        <v>2024</v>
      </c>
      <c r="C355" s="1" t="s">
        <v>113</v>
      </c>
      <c r="D355" s="2">
        <v>38960</v>
      </c>
      <c r="E355" s="2">
        <v>133</v>
      </c>
      <c r="F355" s="2">
        <f t="shared" si="20"/>
        <v>5181680</v>
      </c>
      <c r="G355" s="2">
        <v>78213000</v>
      </c>
      <c r="H355" s="2">
        <v>1027000</v>
      </c>
    </row>
    <row r="356" spans="1:8" x14ac:dyDescent="0.3">
      <c r="A356" s="1" t="s">
        <v>109</v>
      </c>
      <c r="B356" s="11">
        <v>2024</v>
      </c>
      <c r="C356" s="1" t="s">
        <v>114</v>
      </c>
      <c r="D356" s="2">
        <v>37080</v>
      </c>
      <c r="E356" s="2">
        <v>140</v>
      </c>
      <c r="F356" s="2">
        <f t="shared" si="20"/>
        <v>5191200</v>
      </c>
      <c r="G356" s="2">
        <v>78213000</v>
      </c>
      <c r="H356" s="2">
        <v>1027000</v>
      </c>
    </row>
    <row r="357" spans="1:8" x14ac:dyDescent="0.3">
      <c r="A357" s="1" t="s">
        <v>109</v>
      </c>
      <c r="B357" s="11">
        <v>2024</v>
      </c>
      <c r="C357" s="1" t="s">
        <v>115</v>
      </c>
      <c r="D357" s="2">
        <v>36370</v>
      </c>
      <c r="E357" s="2">
        <v>143</v>
      </c>
      <c r="F357" s="2">
        <f t="shared" si="20"/>
        <v>5200910</v>
      </c>
      <c r="G357" s="2">
        <v>78213000</v>
      </c>
      <c r="H357" s="2">
        <v>1027000</v>
      </c>
    </row>
    <row r="358" spans="1:8" x14ac:dyDescent="0.3">
      <c r="A358" s="1" t="s">
        <v>109</v>
      </c>
      <c r="B358" s="11">
        <v>2024</v>
      </c>
      <c r="C358" s="1" t="s">
        <v>116</v>
      </c>
      <c r="D358" s="2">
        <v>33110</v>
      </c>
      <c r="E358" s="2">
        <v>157</v>
      </c>
      <c r="F358" s="2">
        <f t="shared" si="20"/>
        <v>5198270</v>
      </c>
      <c r="G358" s="2">
        <v>78213000</v>
      </c>
      <c r="H358" s="2">
        <v>1027000</v>
      </c>
    </row>
    <row r="359" spans="1:8" x14ac:dyDescent="0.3">
      <c r="A359" s="1" t="s">
        <v>109</v>
      </c>
      <c r="B359" s="11">
        <v>2024</v>
      </c>
      <c r="C359" s="1" t="s">
        <v>111</v>
      </c>
      <c r="D359" s="2">
        <v>58650</v>
      </c>
      <c r="E359" s="2">
        <v>88</v>
      </c>
      <c r="F359" s="2">
        <f t="shared" si="20"/>
        <v>5161200</v>
      </c>
      <c r="G359" s="2">
        <v>78213000</v>
      </c>
      <c r="H359" s="2">
        <v>1027000</v>
      </c>
    </row>
    <row r="360" spans="1:8" x14ac:dyDescent="0.3">
      <c r="A360" s="1" t="s">
        <v>109</v>
      </c>
      <c r="B360" s="11">
        <v>2024</v>
      </c>
      <c r="C360" s="1" t="s">
        <v>112</v>
      </c>
      <c r="D360" s="2">
        <v>52030</v>
      </c>
      <c r="E360" s="2">
        <v>100</v>
      </c>
      <c r="F360" s="2">
        <f t="shared" si="20"/>
        <v>5203000</v>
      </c>
      <c r="G360" s="2">
        <v>78213000</v>
      </c>
      <c r="H360" s="2">
        <v>1027000</v>
      </c>
    </row>
    <row r="361" spans="1:8" x14ac:dyDescent="0.3">
      <c r="A361" s="1" t="s">
        <v>109</v>
      </c>
      <c r="B361" s="11">
        <v>2024</v>
      </c>
      <c r="C361" s="1" t="s">
        <v>113</v>
      </c>
      <c r="D361" s="2">
        <v>44100</v>
      </c>
      <c r="E361" s="2">
        <v>118</v>
      </c>
      <c r="F361" s="2">
        <f t="shared" si="20"/>
        <v>5203800</v>
      </c>
      <c r="G361" s="2">
        <v>78213000</v>
      </c>
      <c r="H361" s="2">
        <v>1027000</v>
      </c>
    </row>
    <row r="362" spans="1:8" x14ac:dyDescent="0.3">
      <c r="A362" s="1" t="s">
        <v>109</v>
      </c>
      <c r="B362" s="11">
        <v>2024</v>
      </c>
      <c r="C362" s="1" t="s">
        <v>114</v>
      </c>
      <c r="D362" s="2">
        <v>43640</v>
      </c>
      <c r="E362" s="2">
        <v>119</v>
      </c>
      <c r="F362" s="2">
        <f t="shared" si="20"/>
        <v>5193160</v>
      </c>
      <c r="G362" s="2">
        <v>78213000</v>
      </c>
      <c r="H362" s="2">
        <v>1027000</v>
      </c>
    </row>
    <row r="363" spans="1:8" x14ac:dyDescent="0.3">
      <c r="A363" s="1" t="s">
        <v>109</v>
      </c>
      <c r="B363" s="11">
        <v>2024</v>
      </c>
      <c r="C363" s="1" t="s">
        <v>115</v>
      </c>
      <c r="D363" s="2">
        <v>41350</v>
      </c>
      <c r="E363" s="2">
        <v>126</v>
      </c>
      <c r="F363" s="2">
        <f t="shared" si="20"/>
        <v>5210100</v>
      </c>
      <c r="G363" s="2">
        <v>78213000</v>
      </c>
      <c r="H363" s="2">
        <v>1027000</v>
      </c>
    </row>
    <row r="364" spans="1:8" x14ac:dyDescent="0.3">
      <c r="A364" s="1" t="s">
        <v>109</v>
      </c>
      <c r="B364" s="11">
        <v>2024</v>
      </c>
      <c r="C364" s="1" t="s">
        <v>116</v>
      </c>
      <c r="D364" s="2">
        <v>37640</v>
      </c>
      <c r="E364" s="2">
        <v>423</v>
      </c>
      <c r="F364" s="2">
        <f t="shared" si="20"/>
        <v>15921720</v>
      </c>
      <c r="G364" s="2">
        <v>78213000</v>
      </c>
      <c r="H364" s="2">
        <v>1027000</v>
      </c>
    </row>
    <row r="365" spans="1:8" x14ac:dyDescent="0.3">
      <c r="A365" s="1" t="s">
        <v>117</v>
      </c>
      <c r="B365" s="11">
        <v>2022</v>
      </c>
      <c r="C365" s="1" t="s">
        <v>118</v>
      </c>
      <c r="D365" s="2">
        <v>2000</v>
      </c>
      <c r="E365" s="2">
        <v>9</v>
      </c>
      <c r="F365" s="2">
        <f>E365*D365</f>
        <v>18000</v>
      </c>
      <c r="G365" s="2">
        <v>1030000</v>
      </c>
      <c r="H365" s="2">
        <v>-172000</v>
      </c>
    </row>
    <row r="366" spans="1:8" x14ac:dyDescent="0.3">
      <c r="A366" s="1" t="s">
        <v>117</v>
      </c>
      <c r="B366" s="11">
        <v>2022</v>
      </c>
      <c r="C366" s="1" t="s">
        <v>119</v>
      </c>
      <c r="D366" s="2">
        <v>18000</v>
      </c>
      <c r="E366" s="2">
        <v>0</v>
      </c>
      <c r="F366" s="2">
        <f t="shared" ref="F366:F388" si="21">E366*D366</f>
        <v>0</v>
      </c>
      <c r="G366" s="2">
        <v>1030000</v>
      </c>
      <c r="H366" s="2">
        <v>-172000</v>
      </c>
    </row>
    <row r="367" spans="1:8" x14ac:dyDescent="0.3">
      <c r="A367" s="1" t="s">
        <v>117</v>
      </c>
      <c r="B367" s="11">
        <v>2022</v>
      </c>
      <c r="C367" s="1" t="s">
        <v>120</v>
      </c>
      <c r="D367" s="2">
        <v>2000</v>
      </c>
      <c r="E367" s="2">
        <v>107</v>
      </c>
      <c r="F367" s="2">
        <f t="shared" si="21"/>
        <v>214000</v>
      </c>
      <c r="G367" s="2">
        <v>1030000</v>
      </c>
      <c r="H367" s="2">
        <v>-172000</v>
      </c>
    </row>
    <row r="368" spans="1:8" x14ac:dyDescent="0.3">
      <c r="A368" s="1" t="s">
        <v>117</v>
      </c>
      <c r="B368" s="11">
        <v>2022</v>
      </c>
      <c r="C368" s="1" t="s">
        <v>121</v>
      </c>
      <c r="D368" s="2">
        <v>25000</v>
      </c>
      <c r="E368" s="2">
        <v>4</v>
      </c>
      <c r="F368" s="2">
        <f t="shared" si="21"/>
        <v>100000</v>
      </c>
      <c r="G368" s="2">
        <v>1030000</v>
      </c>
      <c r="H368" s="2">
        <v>-172000</v>
      </c>
    </row>
    <row r="369" spans="1:8" x14ac:dyDescent="0.3">
      <c r="A369" s="1" t="s">
        <v>117</v>
      </c>
      <c r="B369" s="11">
        <v>2022</v>
      </c>
      <c r="C369" s="1" t="s">
        <v>122</v>
      </c>
      <c r="D369" s="2">
        <v>500</v>
      </c>
      <c r="E369" s="2">
        <v>261</v>
      </c>
      <c r="F369" s="2">
        <f t="shared" si="21"/>
        <v>130500</v>
      </c>
      <c r="G369" s="2">
        <v>1030000</v>
      </c>
      <c r="H369" s="2">
        <v>-172000</v>
      </c>
    </row>
    <row r="370" spans="1:8" x14ac:dyDescent="0.3">
      <c r="A370" s="1" t="s">
        <v>117</v>
      </c>
      <c r="B370" s="11">
        <v>2022</v>
      </c>
      <c r="C370" s="1" t="s">
        <v>123</v>
      </c>
      <c r="D370" s="2">
        <v>7000</v>
      </c>
      <c r="E370" s="2">
        <v>0</v>
      </c>
      <c r="F370" s="2">
        <f t="shared" si="21"/>
        <v>0</v>
      </c>
      <c r="G370" s="2">
        <v>1030000</v>
      </c>
      <c r="H370" s="2">
        <v>-172000</v>
      </c>
    </row>
    <row r="371" spans="1:8" x14ac:dyDescent="0.3">
      <c r="A371" s="1" t="s">
        <v>117</v>
      </c>
      <c r="B371" s="11">
        <v>2022</v>
      </c>
      <c r="C371" s="1" t="s">
        <v>124</v>
      </c>
      <c r="D371" s="2">
        <v>500</v>
      </c>
      <c r="E371" s="2">
        <v>744</v>
      </c>
      <c r="F371" s="2">
        <f t="shared" si="21"/>
        <v>372000</v>
      </c>
      <c r="G371" s="2">
        <v>1030000</v>
      </c>
      <c r="H371" s="2">
        <v>-172000</v>
      </c>
    </row>
    <row r="372" spans="1:8" x14ac:dyDescent="0.3">
      <c r="A372" s="1" t="s">
        <v>117</v>
      </c>
      <c r="B372" s="11">
        <v>2022</v>
      </c>
      <c r="C372" s="1" t="s">
        <v>125</v>
      </c>
      <c r="D372" s="2">
        <v>7000</v>
      </c>
      <c r="E372" s="2">
        <v>27</v>
      </c>
      <c r="F372" s="2">
        <f t="shared" si="21"/>
        <v>189000</v>
      </c>
      <c r="G372" s="2">
        <v>1030000</v>
      </c>
      <c r="H372" s="2">
        <v>-172000</v>
      </c>
    </row>
    <row r="373" spans="1:8" x14ac:dyDescent="0.3">
      <c r="A373" s="1" t="s">
        <v>117</v>
      </c>
      <c r="B373" s="11">
        <v>2023</v>
      </c>
      <c r="C373" s="1" t="s">
        <v>118</v>
      </c>
      <c r="D373" s="2">
        <v>2000</v>
      </c>
      <c r="E373" s="2">
        <v>68</v>
      </c>
      <c r="F373" s="2">
        <f t="shared" si="21"/>
        <v>136000</v>
      </c>
      <c r="G373" s="2">
        <v>2164000</v>
      </c>
      <c r="H373" s="2">
        <v>626000</v>
      </c>
    </row>
    <row r="374" spans="1:8" x14ac:dyDescent="0.3">
      <c r="A374" s="1" t="s">
        <v>117</v>
      </c>
      <c r="B374" s="11">
        <v>2023</v>
      </c>
      <c r="C374" s="1" t="s">
        <v>119</v>
      </c>
      <c r="D374" s="2">
        <v>18000</v>
      </c>
      <c r="E374" s="2">
        <v>7</v>
      </c>
      <c r="F374" s="2">
        <f t="shared" si="21"/>
        <v>126000</v>
      </c>
      <c r="G374" s="2">
        <v>2164000</v>
      </c>
      <c r="H374" s="2">
        <v>626000</v>
      </c>
    </row>
    <row r="375" spans="1:8" x14ac:dyDescent="0.3">
      <c r="A375" s="1" t="s">
        <v>117</v>
      </c>
      <c r="B375" s="11">
        <v>2023</v>
      </c>
      <c r="C375" s="1" t="s">
        <v>120</v>
      </c>
      <c r="D375" s="2">
        <v>2000</v>
      </c>
      <c r="E375" s="2">
        <v>61</v>
      </c>
      <c r="F375" s="2">
        <f t="shared" si="21"/>
        <v>122000</v>
      </c>
      <c r="G375" s="2">
        <v>2164000</v>
      </c>
      <c r="H375" s="2">
        <v>626000</v>
      </c>
    </row>
    <row r="376" spans="1:8" x14ac:dyDescent="0.3">
      <c r="A376" s="1" t="s">
        <v>117</v>
      </c>
      <c r="B376" s="11">
        <v>2023</v>
      </c>
      <c r="C376" s="1" t="s">
        <v>121</v>
      </c>
      <c r="D376" s="2">
        <v>25000</v>
      </c>
      <c r="E376" s="2">
        <v>9</v>
      </c>
      <c r="F376" s="2">
        <f t="shared" si="21"/>
        <v>225000</v>
      </c>
      <c r="G376" s="2">
        <v>2164000</v>
      </c>
      <c r="H376" s="2">
        <v>626000</v>
      </c>
    </row>
    <row r="377" spans="1:8" x14ac:dyDescent="0.3">
      <c r="A377" s="1" t="s">
        <v>117</v>
      </c>
      <c r="B377" s="11">
        <v>2023</v>
      </c>
      <c r="C377" s="1" t="s">
        <v>122</v>
      </c>
      <c r="D377" s="2">
        <v>500</v>
      </c>
      <c r="E377" s="2">
        <v>891</v>
      </c>
      <c r="F377" s="2">
        <f t="shared" si="21"/>
        <v>445500</v>
      </c>
      <c r="G377" s="2">
        <v>2164000</v>
      </c>
      <c r="H377" s="2">
        <v>626000</v>
      </c>
    </row>
    <row r="378" spans="1:8" x14ac:dyDescent="0.3">
      <c r="A378" s="1" t="s">
        <v>117</v>
      </c>
      <c r="B378" s="11">
        <v>2023</v>
      </c>
      <c r="C378" s="1" t="s">
        <v>123</v>
      </c>
      <c r="D378" s="2">
        <v>7000</v>
      </c>
      <c r="E378" s="2">
        <v>48</v>
      </c>
      <c r="F378" s="2">
        <f t="shared" si="21"/>
        <v>336000</v>
      </c>
      <c r="G378" s="2">
        <v>2164000</v>
      </c>
      <c r="H378" s="2">
        <v>626000</v>
      </c>
    </row>
    <row r="379" spans="1:8" x14ac:dyDescent="0.3">
      <c r="A379" s="1" t="s">
        <v>117</v>
      </c>
      <c r="B379" s="11">
        <v>2023</v>
      </c>
      <c r="C379" s="1" t="s">
        <v>124</v>
      </c>
      <c r="D379" s="2">
        <v>500</v>
      </c>
      <c r="E379" s="2">
        <v>413</v>
      </c>
      <c r="F379" s="2">
        <f t="shared" si="21"/>
        <v>206500</v>
      </c>
      <c r="G379" s="2">
        <v>2164000</v>
      </c>
      <c r="H379" s="2">
        <v>626000</v>
      </c>
    </row>
    <row r="380" spans="1:8" x14ac:dyDescent="0.3">
      <c r="A380" s="1" t="s">
        <v>117</v>
      </c>
      <c r="B380" s="11">
        <v>2023</v>
      </c>
      <c r="C380" s="1" t="s">
        <v>125</v>
      </c>
      <c r="D380" s="2">
        <v>7000</v>
      </c>
      <c r="E380" s="2">
        <v>81</v>
      </c>
      <c r="F380" s="2">
        <f t="shared" si="21"/>
        <v>567000</v>
      </c>
      <c r="G380" s="2">
        <v>2164000</v>
      </c>
      <c r="H380" s="2">
        <v>626000</v>
      </c>
    </row>
    <row r="381" spans="1:8" x14ac:dyDescent="0.3">
      <c r="A381" s="1" t="s">
        <v>117</v>
      </c>
      <c r="B381" s="11">
        <v>2024</v>
      </c>
      <c r="C381" s="1" t="s">
        <v>118</v>
      </c>
      <c r="D381" s="2">
        <v>2000</v>
      </c>
      <c r="E381" s="2">
        <v>97</v>
      </c>
      <c r="F381" s="2">
        <f t="shared" si="21"/>
        <v>194000</v>
      </c>
      <c r="G381" s="2">
        <v>6268000</v>
      </c>
      <c r="H381" s="2">
        <v>2612000</v>
      </c>
    </row>
    <row r="382" spans="1:8" x14ac:dyDescent="0.3">
      <c r="A382" s="1" t="s">
        <v>117</v>
      </c>
      <c r="B382" s="11">
        <v>2024</v>
      </c>
      <c r="C382" s="1" t="s">
        <v>119</v>
      </c>
      <c r="D382" s="2">
        <v>18000</v>
      </c>
      <c r="E382" s="2">
        <v>24</v>
      </c>
      <c r="F382" s="2">
        <f t="shared" si="21"/>
        <v>432000</v>
      </c>
      <c r="G382" s="2">
        <v>6268000</v>
      </c>
      <c r="H382" s="2">
        <v>2612000</v>
      </c>
    </row>
    <row r="383" spans="1:8" x14ac:dyDescent="0.3">
      <c r="A383" s="1" t="s">
        <v>117</v>
      </c>
      <c r="B383" s="11">
        <v>2024</v>
      </c>
      <c r="C383" s="1" t="s">
        <v>120</v>
      </c>
      <c r="D383" s="2">
        <v>2000</v>
      </c>
      <c r="E383" s="2">
        <v>289</v>
      </c>
      <c r="F383" s="2">
        <f t="shared" si="21"/>
        <v>578000</v>
      </c>
      <c r="G383" s="2">
        <v>6268000</v>
      </c>
      <c r="H383" s="2">
        <v>2612000</v>
      </c>
    </row>
    <row r="384" spans="1:8" x14ac:dyDescent="0.3">
      <c r="A384" s="1" t="s">
        <v>117</v>
      </c>
      <c r="B384" s="11">
        <v>2024</v>
      </c>
      <c r="C384" s="1" t="s">
        <v>121</v>
      </c>
      <c r="D384" s="2">
        <v>25000</v>
      </c>
      <c r="E384" s="2">
        <v>31</v>
      </c>
      <c r="F384" s="2">
        <f t="shared" si="21"/>
        <v>775000</v>
      </c>
      <c r="G384" s="2">
        <v>6268000</v>
      </c>
      <c r="H384" s="2">
        <v>2612000</v>
      </c>
    </row>
    <row r="385" spans="1:8" x14ac:dyDescent="0.3">
      <c r="A385" s="1" t="s">
        <v>117</v>
      </c>
      <c r="B385" s="11">
        <v>2024</v>
      </c>
      <c r="C385" s="1" t="s">
        <v>122</v>
      </c>
      <c r="D385" s="2">
        <v>500</v>
      </c>
      <c r="E385" s="2">
        <v>3905</v>
      </c>
      <c r="F385" s="2">
        <f t="shared" si="21"/>
        <v>1952500</v>
      </c>
      <c r="G385" s="2">
        <v>6268000</v>
      </c>
      <c r="H385" s="2">
        <v>2612000</v>
      </c>
    </row>
    <row r="386" spans="1:8" x14ac:dyDescent="0.3">
      <c r="A386" s="1" t="s">
        <v>117</v>
      </c>
      <c r="B386" s="11">
        <v>2024</v>
      </c>
      <c r="C386" s="1" t="s">
        <v>123</v>
      </c>
      <c r="D386" s="2">
        <v>7000</v>
      </c>
      <c r="E386" s="2">
        <v>40</v>
      </c>
      <c r="F386" s="2">
        <f t="shared" si="21"/>
        <v>280000</v>
      </c>
      <c r="G386" s="2">
        <v>6268000</v>
      </c>
      <c r="H386" s="2">
        <v>2612000</v>
      </c>
    </row>
    <row r="387" spans="1:8" x14ac:dyDescent="0.3">
      <c r="A387" s="1" t="s">
        <v>117</v>
      </c>
      <c r="B387" s="11">
        <v>2024</v>
      </c>
      <c r="C387" s="1" t="s">
        <v>124</v>
      </c>
      <c r="D387" s="2">
        <v>500</v>
      </c>
      <c r="E387" s="2">
        <v>1832</v>
      </c>
      <c r="F387" s="2">
        <f t="shared" si="21"/>
        <v>916000</v>
      </c>
      <c r="G387" s="2">
        <v>6268000</v>
      </c>
      <c r="H387" s="2">
        <v>2612000</v>
      </c>
    </row>
    <row r="388" spans="1:8" x14ac:dyDescent="0.3">
      <c r="A388" s="1" t="s">
        <v>117</v>
      </c>
      <c r="B388" s="11">
        <v>2024</v>
      </c>
      <c r="C388" s="1" t="s">
        <v>125</v>
      </c>
      <c r="D388" s="2">
        <v>7000</v>
      </c>
      <c r="E388" s="2">
        <v>163</v>
      </c>
      <c r="F388" s="2">
        <f t="shared" si="21"/>
        <v>1141000</v>
      </c>
      <c r="G388" s="2">
        <v>6268000</v>
      </c>
      <c r="H388" s="2">
        <v>2612000</v>
      </c>
    </row>
    <row r="389" spans="1:8" x14ac:dyDescent="0.3">
      <c r="B389" s="11"/>
      <c r="D389" s="2"/>
      <c r="E389" s="2"/>
      <c r="F389" s="2"/>
      <c r="G389" s="2"/>
      <c r="H389" s="2"/>
    </row>
    <row r="390" spans="1:8" x14ac:dyDescent="0.3">
      <c r="B390" s="11"/>
      <c r="D390" s="2"/>
      <c r="E390" s="2"/>
      <c r="F390" s="2"/>
      <c r="G390" s="2"/>
      <c r="H390" s="2"/>
    </row>
    <row r="391" spans="1:8" x14ac:dyDescent="0.3">
      <c r="D391" s="2"/>
      <c r="E391" s="2"/>
      <c r="F391" s="2"/>
      <c r="G391" s="2"/>
      <c r="H391" s="2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Анализ</vt:lpstr>
      <vt:lpstr>Сравнение компаний по ценам </vt:lpstr>
      <vt:lpstr>Вариант1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Сабина</dc:creator>
  <cp:lastModifiedBy>karina</cp:lastModifiedBy>
  <dcterms:created xsi:type="dcterms:W3CDTF">2015-06-05T18:19:34Z</dcterms:created>
  <dcterms:modified xsi:type="dcterms:W3CDTF">2025-11-14T21:57:35Z</dcterms:modified>
</cp:coreProperties>
</file>