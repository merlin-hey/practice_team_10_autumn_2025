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ina\Desktop\"/>
    </mc:Choice>
  </mc:AlternateContent>
  <bookViews>
    <workbookView xWindow="-108" yWindow="-108" windowWidth="23256" windowHeight="12576" activeTab="2"/>
  </bookViews>
  <sheets>
    <sheet name="Вариант1" sheetId="3" r:id="rId1"/>
    <sheet name="Анализ" sheetId="4" r:id="rId2"/>
    <sheet name="Сравнение компаний по ценам " sheetId="5" r:id="rId3"/>
    <sheet name="Рентабельность_компаний" sheetId="9" r:id="rId4"/>
    <sheet name="Динамика_цен" sheetId="11" r:id="rId5"/>
  </sheets>
  <definedNames>
    <definedName name="Срез_Год">#N/A</definedName>
    <definedName name="Срез_Компания">#N/A</definedName>
    <definedName name="Срез_Компания1">#N/A</definedName>
    <definedName name="Срез_Продукция">#N/A</definedName>
    <definedName name="Срез_Продукция1">#N/A</definedName>
  </definedNames>
  <calcPr calcId="162913"/>
  <pivotCaches>
    <pivotCache cacheId="0" r:id="rId6"/>
    <pivotCache cacheId="1" r:id="rId7"/>
    <pivotCache cacheId="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9" l="1"/>
  <c r="E23" i="9"/>
  <c r="E24" i="9"/>
  <c r="E25" i="9"/>
  <c r="E26" i="9"/>
  <c r="E27" i="9"/>
  <c r="E28" i="9"/>
  <c r="E29" i="9"/>
  <c r="E30" i="9"/>
  <c r="E2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C25" i="9"/>
  <c r="D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L2" i="3"/>
  <c r="C3" i="9"/>
  <c r="C4" i="9"/>
  <c r="C5" i="9"/>
  <c r="C6" i="9"/>
  <c r="C7" i="9"/>
  <c r="C8" i="9"/>
  <c r="C9" i="9"/>
  <c r="C10" i="9"/>
  <c r="C11" i="9"/>
  <c r="C2" i="9"/>
  <c r="B3" i="9"/>
  <c r="B4" i="9"/>
  <c r="B5" i="9"/>
  <c r="B6" i="9"/>
  <c r="B7" i="9"/>
  <c r="B8" i="9"/>
  <c r="B9" i="9"/>
  <c r="B10" i="9"/>
  <c r="B11" i="9"/>
  <c r="B2" i="9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2" i="3"/>
  <c r="C12" i="9" l="1"/>
  <c r="B12" i="9" l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D9" i="9" l="1"/>
  <c r="D2" i="9"/>
  <c r="D3" i="9"/>
  <c r="D8" i="9"/>
  <c r="D10" i="9"/>
  <c r="D11" i="9"/>
  <c r="D4" i="9"/>
  <c r="D5" i="9"/>
  <c r="D6" i="9"/>
  <c r="D7" i="9"/>
  <c r="F10" i="3"/>
  <c r="F9" i="3"/>
  <c r="F8" i="3"/>
  <c r="F7" i="3"/>
  <c r="F6" i="3"/>
  <c r="F5" i="3"/>
  <c r="F4" i="3"/>
  <c r="F3" i="3"/>
  <c r="F2" i="3"/>
  <c r="D12" i="9" l="1"/>
</calcChain>
</file>

<file path=xl/sharedStrings.xml><?xml version="1.0" encoding="utf-8"?>
<sst xmlns="http://schemas.openxmlformats.org/spreadsheetml/2006/main" count="995" uniqueCount="154">
  <si>
    <t>Год</t>
  </si>
  <si>
    <t>Продукция</t>
  </si>
  <si>
    <t>Цена, руб</t>
  </si>
  <si>
    <t>Количество, шт</t>
  </si>
  <si>
    <t>Выручка, руб</t>
  </si>
  <si>
    <t>Древесноволокнистая плита, шлифованная, 16 мм</t>
  </si>
  <si>
    <t>Древесноволокнистая плита, шлифованная, 18 мм</t>
  </si>
  <si>
    <t>Древесноволокнистая плита, ламинированная "Дуб", 16 мм</t>
  </si>
  <si>
    <t>Древесноволокнистая плита, ламинированная "Белый", 16 мм</t>
  </si>
  <si>
    <t>Древесноволокнистая плита, крашенная белая, 19 мм</t>
  </si>
  <si>
    <t>Древесноволокнистая плита, влагостойкая, 18 мм</t>
  </si>
  <si>
    <t>Древесноволокнистая плита, фигурная фасадная, 19 мм</t>
  </si>
  <si>
    <t>МДФ</t>
  </si>
  <si>
    <t>Аргус-Волга</t>
  </si>
  <si>
    <t>Брус клееный 100x100 мм</t>
  </si>
  <si>
    <t>Доска строганная 50x150x6000 мм</t>
  </si>
  <si>
    <t>Оцилиндрованное бревно 240 мм</t>
  </si>
  <si>
    <t>Имитация бруса 21x146 мм</t>
  </si>
  <si>
    <t>Вагонка Штиль 12,5x96 мм</t>
  </si>
  <si>
    <t>Блок-Хаус 36x190 мм</t>
  </si>
  <si>
    <t>Мебельный щит из сосны 40x600x1200 мм</t>
  </si>
  <si>
    <t>Онежский компбинат</t>
  </si>
  <si>
    <t>Брус сухой строганный 100x100x6000 мм</t>
  </si>
  <si>
    <t>Брус сухой строганный 150x150x6000 мм</t>
  </si>
  <si>
    <t>Доска сухая строганная 50x150x6000 мм</t>
  </si>
  <si>
    <t>Доска сухая строганная 25x150x6000 мм</t>
  </si>
  <si>
    <t>Террасная доска из лиственницы 27x145 мм</t>
  </si>
  <si>
    <t>Планкен фасадный из лиственницы 20x70 мм</t>
  </si>
  <si>
    <t>Вагонка евро 12.5x96 мм</t>
  </si>
  <si>
    <t>Блок-Хаус 28x190 мм</t>
  </si>
  <si>
    <t>Доска пола шпунтованная 36x135 мм</t>
  </si>
  <si>
    <t>Мебельный щит 40x600x1200 мм</t>
  </si>
  <si>
    <t>Рейка обрешетки 30x50 мм</t>
  </si>
  <si>
    <t>Сокольский комбинат</t>
  </si>
  <si>
    <t>Брус клееный 100x100x6000 мм</t>
  </si>
  <si>
    <t>Брус клееный 150x150x6000 мм</t>
  </si>
  <si>
    <t>Домокомплект "Дачный" (каркас)</t>
  </si>
  <si>
    <t>Домокомплект "Баня" (сруб)</t>
  </si>
  <si>
    <t>Балка клееная 100x200x6000 мм</t>
  </si>
  <si>
    <t>Оконный брус клееный</t>
  </si>
  <si>
    <t>Домокомплект "Гостевой дом"</t>
  </si>
  <si>
    <t>Стропильная система (КДК)</t>
  </si>
  <si>
    <t>Панель стеновая СИП</t>
  </si>
  <si>
    <t>Террасная доска 45x145 мм</t>
  </si>
  <si>
    <t>Арка клееная (КДК)</t>
  </si>
  <si>
    <t>Лестница деревянная (КДК)</t>
  </si>
  <si>
    <t>Колонна декоративная (КДК)</t>
  </si>
  <si>
    <t>Ферма клееная 12м (КДК)</t>
  </si>
  <si>
    <t>Илим</t>
  </si>
  <si>
    <t>Целлюлоза беленая хвойная</t>
  </si>
  <si>
    <t>Целлюлоза беленая лиственная</t>
  </si>
  <si>
    <t>Картон гофрированный</t>
  </si>
  <si>
    <t>Бумага газетная</t>
  </si>
  <si>
    <t>Бумага офсетная</t>
  </si>
  <si>
    <t>Древесная масса</t>
  </si>
  <si>
    <t>Гофротара (ящики)</t>
  </si>
  <si>
    <t>Целлюлоза сульфатная небеленая</t>
  </si>
  <si>
    <t>Упаковка картонная потребительская</t>
  </si>
  <si>
    <t>Бумага мелованная</t>
  </si>
  <si>
    <t>Крафт-лайнер</t>
  </si>
  <si>
    <t>Целлюлоза техническая</t>
  </si>
  <si>
    <t>Енисей</t>
  </si>
  <si>
    <t>Доска калиброванная 50/45/40/35/30/21/18 х 190/140/120/95 мм.</t>
  </si>
  <si>
    <t>Доска пола 45 х 135 мм.</t>
  </si>
  <si>
    <t>Доска пола 36 х 135/115 мм.</t>
  </si>
  <si>
    <t>Доска пола 28 х 135/115 мм.</t>
  </si>
  <si>
    <t>Доска пола 21 х 115/90 мм.</t>
  </si>
  <si>
    <t>Брус сухой строганный 100х100 / 100х150 / 150х150 мм.</t>
  </si>
  <si>
    <t>Брус сухой строганный 100х200 / 150х200 мм.</t>
  </si>
  <si>
    <t>Блок-Хаус 36/28 х 185/135 мм.</t>
  </si>
  <si>
    <t>Имитация бруса 21 х 135 мм.</t>
  </si>
  <si>
    <t>Имитация бруса 21 х 185 мм.</t>
  </si>
  <si>
    <t>Имитация бруса 19 х 160 мм.</t>
  </si>
  <si>
    <t>Имитация бруса 16 х 135 мм.</t>
  </si>
  <si>
    <t>Вагонка 20 х 90 мм.</t>
  </si>
  <si>
    <t>Вагонка Штиль 12,5 х 110/90 мм.</t>
  </si>
  <si>
    <t>Евровагонка 12,5 х 90 мм.</t>
  </si>
  <si>
    <t>Н.М комбинат</t>
  </si>
  <si>
    <t>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</t>
  </si>
  <si>
    <t>Монтажные работы</t>
  </si>
  <si>
    <t>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</t>
  </si>
  <si>
    <t>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</t>
  </si>
  <si>
    <t>Блоки оконные из алюминиевого профиля "теплого" типа (с терморазрывом) MasTTech 67 RAL по проекту заполнение - двухкамерный энергосберегающий стеклопакет фурнитура поворотная и поворотно-откидная Giesse/Fapim</t>
  </si>
  <si>
    <t>Блоки дверные из алюминиевого профиля "теплого" типа (с терморазрывом) MasTTech 67 RAL по проекту заполнение - двухкамерный энергосберегающий стеклопакет фурнитура поворотная Giesse/Fapim</t>
  </si>
  <si>
    <t>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</t>
  </si>
  <si>
    <t>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</t>
  </si>
  <si>
    <t>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</t>
  </si>
  <si>
    <t>Доставка продукции г.Н.Новгород-г. Мосвка/Московская обл.</t>
  </si>
  <si>
    <t>Брус стеновой профилированный ширина 120 240мм высота 140 200мм с зарезкой согласно проекту сосна/ель</t>
  </si>
  <si>
    <t>Брус конструкционный прямолинейный ширина 100 200мм высота до 1950 мм сосна/ель</t>
  </si>
  <si>
    <t>Брус конструкционный криволинейный ширина 100 200мм высота до 1950 мм сосна/ель</t>
  </si>
  <si>
    <t>ВЛПХ</t>
  </si>
  <si>
    <t>Имитация бруса</t>
  </si>
  <si>
    <t>Сканд. фасадная доска</t>
  </si>
  <si>
    <t>Евровагонка</t>
  </si>
  <si>
    <t>Вагонка Штиль</t>
  </si>
  <si>
    <t>Вагонка Профлайн</t>
  </si>
  <si>
    <t>Блок хаус</t>
  </si>
  <si>
    <t>Доска пола</t>
  </si>
  <si>
    <t>Террасная доска</t>
  </si>
  <si>
    <t>Планкен</t>
  </si>
  <si>
    <t>Доска сухая строганая</t>
  </si>
  <si>
    <t>Доска сухая обрезная</t>
  </si>
  <si>
    <t>Брус е/влажн</t>
  </si>
  <si>
    <t>Брус клееный гладкий</t>
  </si>
  <si>
    <t>Брусок/рейка</t>
  </si>
  <si>
    <t>ОСП плита (OSB-3)</t>
  </si>
  <si>
    <t>Мебельный щит хвоя</t>
  </si>
  <si>
    <t>Брикеты топливные</t>
  </si>
  <si>
    <t>ИвДревПлит</t>
  </si>
  <si>
    <t>Фанера 1/2 Ш2</t>
  </si>
  <si>
    <t>Фанера 2/2 Ш2</t>
  </si>
  <si>
    <t>Фанера 2/3 Ш2</t>
  </si>
  <si>
    <t>Фанера 2/4 Ш2</t>
  </si>
  <si>
    <t>Фанера 3/3 Ш2</t>
  </si>
  <si>
    <t>Фанера 3/4 Ш2</t>
  </si>
  <si>
    <t>Фанера 4/4 НШ</t>
  </si>
  <si>
    <t>Лестех</t>
  </si>
  <si>
    <t>Отходы лесопиления (от бруса)</t>
  </si>
  <si>
    <t>Пиломатериал хвойный, обрезной, ГОСТ 8486-86, влаж. естественная, 21-60</t>
  </si>
  <si>
    <t>Отходы лесопиления, участка лесопиления, (дровяная доска)</t>
  </si>
  <si>
    <t>Пиломатериал хвойный, обрезной, ГОСТ 26002-83, влаж. транспортная, 20+-2% (по заказу)</t>
  </si>
  <si>
    <t>Отходы лесопиления (отторцовка от доски)</t>
  </si>
  <si>
    <t>Пиломатериал хвойный, обрезной, ГОСТ 8486-86, влаж. естественная, 21-28мм (поддонная доска)</t>
  </si>
  <si>
    <t>Отходы с линии сортировки</t>
  </si>
  <si>
    <t>Пиломатериал хвойный ест. влаж. 21-60мм (торцы)</t>
  </si>
  <si>
    <t>Компания</t>
  </si>
  <si>
    <t>Годовая выручка, руб</t>
  </si>
  <si>
    <t>Годовая прибыль, руб.</t>
  </si>
  <si>
    <t>Названия строк</t>
  </si>
  <si>
    <t>(пусто)</t>
  </si>
  <si>
    <t>Общий итог</t>
  </si>
  <si>
    <t>Названия столбцов</t>
  </si>
  <si>
    <t>Сумма по полю Выручка, руб</t>
  </si>
  <si>
    <t>Итог Сумма по полю Выручка, руб</t>
  </si>
  <si>
    <t>Итог Сумма по полю Количество, шт</t>
  </si>
  <si>
    <t>Сумма по полю Количество, шт</t>
  </si>
  <si>
    <t>Среднее по полю Цена, руб</t>
  </si>
  <si>
    <t>Сумма по полю Годовая выручка, руб</t>
  </si>
  <si>
    <t>Динамика годовой выручки</t>
  </si>
  <si>
    <t>Динамика выручки по годам</t>
  </si>
  <si>
    <t>Сумма по полю Годовая прибыль, руб.</t>
  </si>
  <si>
    <t>Динамика годовой прибыли</t>
  </si>
  <si>
    <t>Сумма выручки</t>
  </si>
  <si>
    <t>Сумма прибыли</t>
  </si>
  <si>
    <t>Доля общей выручки,%</t>
  </si>
  <si>
    <t>Итого</t>
  </si>
  <si>
    <t>Онежский-компбинат</t>
  </si>
  <si>
    <t>Рентабельность на продукт, %</t>
  </si>
  <si>
    <t>Прибыль компаний, руб</t>
  </si>
  <si>
    <t>Прибыль на продукт, руб</t>
  </si>
  <si>
    <t>Рентабельность компаний, %</t>
  </si>
  <si>
    <t>Рентабельность компаний по годам</t>
  </si>
  <si>
    <t>Средняя рентабельность,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</si>
</sst>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1" fontId="0" fillId="0" borderId="0" xfId="0" applyNumberForma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6" fillId="0" borderId="0" xfId="0" applyFont="1"/>
  </cellXfs>
  <cellStyles count="1">
    <cellStyle name="Обычный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07/relationships/slicerCache" Target="slicerCaches/slicerCache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[Итоговый анализ.xlsx]Анализ!Сводная таблица2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выручки по годам</a:t>
            </a:r>
            <a:endParaRPr lang="en-US"/>
          </a:p>
        </c:rich>
      </c:tx>
      <c:layout>
        <c:manualLayout>
          <c:xMode val="edge"/>
          <c:yMode val="edge"/>
          <c:x val="0.2543401137357830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Анализ!$B$22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Анализ!$A$23:$A$27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(пусто)</c:v>
                </c:pt>
              </c:strCache>
            </c:strRef>
          </c:cat>
          <c:val>
            <c:numRef>
              <c:f>Анализ!$B$23:$B$27</c:f>
              <c:numCache>
                <c:formatCode>General</c:formatCode>
                <c:ptCount val="4"/>
                <c:pt idx="0">
                  <c:v>199955007379</c:v>
                </c:pt>
                <c:pt idx="1">
                  <c:v>200791243690</c:v>
                </c:pt>
                <c:pt idx="2">
                  <c:v>226584952980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5-4670-B484-7D19C7B23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5512824"/>
        <c:axId val="385511840"/>
        <c:axId val="0"/>
      </c:bar3DChart>
      <c:catAx>
        <c:axId val="38551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511840"/>
        <c:crosses val="autoZero"/>
        <c:auto val="1"/>
        <c:lblAlgn val="ctr"/>
        <c:lblOffset val="100"/>
        <c:noMultiLvlLbl val="0"/>
      </c:catAx>
      <c:valAx>
        <c:axId val="3855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512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[Итоговый анализ.xlsx]Анализ!Сводная таблица6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годовой выручки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Анализ!$B$30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Анализ!$A$31:$A$35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(пусто)</c:v>
                </c:pt>
              </c:strCache>
            </c:strRef>
          </c:cat>
          <c:val>
            <c:numRef>
              <c:f>Анализ!$B$31:$B$35</c:f>
              <c:numCache>
                <c:formatCode>General</c:formatCode>
                <c:ptCount val="4"/>
                <c:pt idx="0">
                  <c:v>2423122786000</c:v>
                </c:pt>
                <c:pt idx="1">
                  <c:v>2443496934000</c:v>
                </c:pt>
                <c:pt idx="2">
                  <c:v>2766996321000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1-48C5-A202-2B172E425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8098504"/>
        <c:axId val="388098832"/>
        <c:axId val="0"/>
      </c:bar3DChart>
      <c:catAx>
        <c:axId val="38809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098832"/>
        <c:crosses val="autoZero"/>
        <c:auto val="1"/>
        <c:lblAlgn val="ctr"/>
        <c:lblOffset val="100"/>
        <c:noMultiLvlLbl val="0"/>
      </c:catAx>
      <c:valAx>
        <c:axId val="3880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098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[Итоговый анализ.xlsx]Анализ!Сводная таблица7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годовой прибыли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Анализ!$B$38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Анализ!$A$39:$A$43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(пусто)</c:v>
                </c:pt>
              </c:strCache>
            </c:strRef>
          </c:cat>
          <c:val>
            <c:numRef>
              <c:f>Анализ!$B$39:$B$43</c:f>
              <c:numCache>
                <c:formatCode>General</c:formatCode>
                <c:ptCount val="4"/>
                <c:pt idx="0">
                  <c:v>713638309000</c:v>
                </c:pt>
                <c:pt idx="1">
                  <c:v>567350887000</c:v>
                </c:pt>
                <c:pt idx="2">
                  <c:v>610527138000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D63-A708-BB6C2F7A6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097984"/>
        <c:axId val="458098640"/>
        <c:axId val="0"/>
      </c:bar3DChart>
      <c:catAx>
        <c:axId val="45809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098640"/>
        <c:crosses val="autoZero"/>
        <c:auto val="1"/>
        <c:lblAlgn val="ctr"/>
        <c:lblOffset val="100"/>
        <c:noMultiLvlLbl val="0"/>
      </c:catAx>
      <c:valAx>
        <c:axId val="4580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09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8684157777107239"/>
          <c:y val="0.17205764717054889"/>
          <c:w val="0.40996346027308006"/>
          <c:h val="0.67944102774409687"/>
        </c:manualLayout>
      </c:layout>
      <c:doughnutChart>
        <c:varyColors val="1"/>
        <c:ser>
          <c:idx val="0"/>
          <c:order val="0"/>
          <c:tx>
            <c:strRef>
              <c:f>Рентабельность_компаний!$D$1</c:f>
              <c:strCache>
                <c:ptCount val="1"/>
                <c:pt idx="0">
                  <c:v>Доля общей выручки,%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4A-40E3-A131-311780F2AE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4A-40E3-A131-311780F2AE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4A-40E3-A131-311780F2AE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4A-40E3-A131-311780F2AE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4A-40E3-A131-311780F2AE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4A-40E3-A131-311780F2AE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4A-40E3-A131-311780F2AE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4A-40E3-A131-311780F2AE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4A-40E3-A131-311780F2AE7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4A-40E3-A131-311780F2AE7A}"/>
              </c:ext>
            </c:extLst>
          </c:dPt>
          <c:val>
            <c:numRef>
              <c:f>Рентабельность_компаний!$D$2:$D$11</c:f>
              <c:numCache>
                <c:formatCode>General</c:formatCode>
                <c:ptCount val="10"/>
                <c:pt idx="0">
                  <c:v>1.3021502848832446E-3</c:v>
                </c:pt>
                <c:pt idx="1">
                  <c:v>3.5007946559559716E-3</c:v>
                </c:pt>
                <c:pt idx="2">
                  <c:v>3.4002768590608197E-2</c:v>
                </c:pt>
                <c:pt idx="3">
                  <c:v>8.7275998180888745</c:v>
                </c:pt>
                <c:pt idx="4">
                  <c:v>4.9932390296338713</c:v>
                </c:pt>
                <c:pt idx="5">
                  <c:v>5.1942491397997639</c:v>
                </c:pt>
                <c:pt idx="6">
                  <c:v>8.3639055185072433</c:v>
                </c:pt>
                <c:pt idx="7">
                  <c:v>1.2325042787071376</c:v>
                </c:pt>
                <c:pt idx="8">
                  <c:v>53.548722489097415</c:v>
                </c:pt>
                <c:pt idx="9">
                  <c:v>17.900974012634251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A-4469-B874-6088362B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рентабельности компаний по годам,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Рентабельность_компаний!$B$20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Рентабельность_компаний!$A$21:$A$30</c:f>
              <c:strCache>
                <c:ptCount val="10"/>
                <c:pt idx="0">
                  <c:v>МДФ</c:v>
                </c:pt>
                <c:pt idx="1">
                  <c:v>Аргус-Волга</c:v>
                </c:pt>
                <c:pt idx="2">
                  <c:v>Онежский-компбинат</c:v>
                </c:pt>
                <c:pt idx="3">
                  <c:v>Сокольский комбинат</c:v>
                </c:pt>
                <c:pt idx="4">
                  <c:v>Илим</c:v>
                </c:pt>
                <c:pt idx="5">
                  <c:v>Енисей</c:v>
                </c:pt>
                <c:pt idx="6">
                  <c:v>Н.М комбинат</c:v>
                </c:pt>
                <c:pt idx="7">
                  <c:v>ВЛПХ</c:v>
                </c:pt>
                <c:pt idx="8">
                  <c:v>ИвДревПлит</c:v>
                </c:pt>
                <c:pt idx="9">
                  <c:v>Лестех</c:v>
                </c:pt>
              </c:strCache>
            </c:strRef>
          </c:cat>
          <c:val>
            <c:numRef>
              <c:f>Рентабельность_компаний!$B$21:$B$30</c:f>
              <c:numCache>
                <c:formatCode>General</c:formatCode>
                <c:ptCount val="10"/>
                <c:pt idx="0">
                  <c:v>7.3660035750803221</c:v>
                </c:pt>
                <c:pt idx="1">
                  <c:v>8.966609295512237</c:v>
                </c:pt>
                <c:pt idx="2">
                  <c:v>14.642078564220991</c:v>
                </c:pt>
                <c:pt idx="3">
                  <c:v>4.8047491484525642</c:v>
                </c:pt>
                <c:pt idx="4">
                  <c:v>31.455730200183901</c:v>
                </c:pt>
                <c:pt idx="5">
                  <c:v>5.3583177438851264</c:v>
                </c:pt>
                <c:pt idx="6">
                  <c:v>8.5469855170090945</c:v>
                </c:pt>
                <c:pt idx="7">
                  <c:v>36.349107399668497</c:v>
                </c:pt>
                <c:pt idx="8">
                  <c:v>1.2214290392298119</c:v>
                </c:pt>
                <c:pt idx="9">
                  <c:v>-16.699029126213592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3C5-8EA4-8F53C04E4ED5}"/>
            </c:ext>
          </c:extLst>
        </c:ser>
        <c:ser>
          <c:idx val="1"/>
          <c:order val="1"/>
          <c:tx>
            <c:strRef>
              <c:f>Рентабельность_компаний!$C$20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Рентабельность_компаний!$A$21:$A$30</c:f>
              <c:strCache>
                <c:ptCount val="10"/>
                <c:pt idx="0">
                  <c:v>МДФ</c:v>
                </c:pt>
                <c:pt idx="1">
                  <c:v>Аргус-Волга</c:v>
                </c:pt>
                <c:pt idx="2">
                  <c:v>Онежский-компбинат</c:v>
                </c:pt>
                <c:pt idx="3">
                  <c:v>Сокольский комбинат</c:v>
                </c:pt>
                <c:pt idx="4">
                  <c:v>Илим</c:v>
                </c:pt>
                <c:pt idx="5">
                  <c:v>Енисей</c:v>
                </c:pt>
                <c:pt idx="6">
                  <c:v>Н.М комбинат</c:v>
                </c:pt>
                <c:pt idx="7">
                  <c:v>ВЛПХ</c:v>
                </c:pt>
                <c:pt idx="8">
                  <c:v>ИвДревПлит</c:v>
                </c:pt>
                <c:pt idx="9">
                  <c:v>Лестех</c:v>
                </c:pt>
              </c:strCache>
            </c:strRef>
          </c:cat>
          <c:val>
            <c:numRef>
              <c:f>Рентабельность_компаний!$C$21:$C$30</c:f>
              <c:numCache>
                <c:formatCode>General</c:formatCode>
                <c:ptCount val="10"/>
                <c:pt idx="0">
                  <c:v>46.468495519229407</c:v>
                </c:pt>
                <c:pt idx="1">
                  <c:v>8.5438432466974223</c:v>
                </c:pt>
                <c:pt idx="2">
                  <c:v>16.07209067807818</c:v>
                </c:pt>
                <c:pt idx="3">
                  <c:v>11.85600012878964</c:v>
                </c:pt>
                <c:pt idx="4">
                  <c:v>23.979182837760629</c:v>
                </c:pt>
                <c:pt idx="5">
                  <c:v>25.04252845548357</c:v>
                </c:pt>
                <c:pt idx="6">
                  <c:v>11.265109231981981</c:v>
                </c:pt>
                <c:pt idx="7">
                  <c:v>1.2477826241208756</c:v>
                </c:pt>
                <c:pt idx="8">
                  <c:v>4.9296135142052728</c:v>
                </c:pt>
                <c:pt idx="9">
                  <c:v>28.927911275415894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6-43C5-8EA4-8F53C04E4ED5}"/>
            </c:ext>
          </c:extLst>
        </c:ser>
        <c:ser>
          <c:idx val="2"/>
          <c:order val="2"/>
          <c:tx>
            <c:strRef>
              <c:f>Рентабельность_компаний!$D$20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Рентабельность_компаний!$A$21:$A$30</c:f>
              <c:strCache>
                <c:ptCount val="10"/>
                <c:pt idx="0">
                  <c:v>МДФ</c:v>
                </c:pt>
                <c:pt idx="1">
                  <c:v>Аргус-Волга</c:v>
                </c:pt>
                <c:pt idx="2">
                  <c:v>Онежский-компбинат</c:v>
                </c:pt>
                <c:pt idx="3">
                  <c:v>Сокольский комбинат</c:v>
                </c:pt>
                <c:pt idx="4">
                  <c:v>Илим</c:v>
                </c:pt>
                <c:pt idx="5">
                  <c:v>Енисей</c:v>
                </c:pt>
                <c:pt idx="6">
                  <c:v>Н.М комбинат</c:v>
                </c:pt>
                <c:pt idx="7">
                  <c:v>ВЛПХ</c:v>
                </c:pt>
                <c:pt idx="8">
                  <c:v>ИвДревПлит</c:v>
                </c:pt>
                <c:pt idx="9">
                  <c:v>Лестех</c:v>
                </c:pt>
              </c:strCache>
            </c:strRef>
          </c:cat>
          <c:val>
            <c:numRef>
              <c:f>Рентабельность_компаний!$D$21:$D$30</c:f>
              <c:numCache>
                <c:formatCode>General</c:formatCode>
                <c:ptCount val="10"/>
                <c:pt idx="0">
                  <c:v>62.015729808454033</c:v>
                </c:pt>
                <c:pt idx="1">
                  <c:v>3.9523884794973894</c:v>
                </c:pt>
                <c:pt idx="2">
                  <c:v>10.389158696458949</c:v>
                </c:pt>
                <c:pt idx="3">
                  <c:v>4.0331766366517838</c:v>
                </c:pt>
                <c:pt idx="4">
                  <c:v>23.597063080621517</c:v>
                </c:pt>
                <c:pt idx="5">
                  <c:v>23.334704260537098</c:v>
                </c:pt>
                <c:pt idx="6">
                  <c:v>0.43893043099602208</c:v>
                </c:pt>
                <c:pt idx="7">
                  <c:v>2.9192861762851754</c:v>
                </c:pt>
                <c:pt idx="8">
                  <c:v>1.3130809456228505</c:v>
                </c:pt>
                <c:pt idx="9">
                  <c:v>41.671984684109766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D6-43C5-8EA4-8F53C04E4ED5}"/>
            </c:ext>
          </c:extLst>
        </c:ser>
        <c:ser>
          <c:idx val="3"/>
          <c:order val="3"/>
          <c:tx>
            <c:strRef>
              <c:f>Рентабельность_компаний!$E$20</c:f>
              <c:strCache>
                <c:ptCount val="1"/>
                <c:pt idx="0">
                  <c:v>Средняя рентабельность,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Рентабельность_компаний!$A$21:$A$30</c:f>
              <c:strCache>
                <c:ptCount val="10"/>
                <c:pt idx="0">
                  <c:v>МДФ</c:v>
                </c:pt>
                <c:pt idx="1">
                  <c:v>Аргус-Волга</c:v>
                </c:pt>
                <c:pt idx="2">
                  <c:v>Онежский-компбинат</c:v>
                </c:pt>
                <c:pt idx="3">
                  <c:v>Сокольский комбинат</c:v>
                </c:pt>
                <c:pt idx="4">
                  <c:v>Илим</c:v>
                </c:pt>
                <c:pt idx="5">
                  <c:v>Енисей</c:v>
                </c:pt>
                <c:pt idx="6">
                  <c:v>Н.М комбинат</c:v>
                </c:pt>
                <c:pt idx="7">
                  <c:v>ВЛПХ</c:v>
                </c:pt>
                <c:pt idx="8">
                  <c:v>ИвДревПлит</c:v>
                </c:pt>
                <c:pt idx="9">
                  <c:v>Лестех</c:v>
                </c:pt>
              </c:strCache>
            </c:strRef>
          </c:cat>
          <c:val>
            <c:numRef>
              <c:f>Рентабельность_компаний!$E$21:$E$30</c:f>
              <c:numCache>
                <c:formatCode>General</c:formatCode>
                <c:ptCount val="10"/>
                <c:pt idx="0">
                  <c:v>38.616742967587918</c:v>
                </c:pt>
                <c:pt idx="1">
                  <c:v>7.1542803405690165</c:v>
                </c:pt>
                <c:pt idx="2">
                  <c:v>13.701109312919373</c:v>
                </c:pt>
                <c:pt idx="3">
                  <c:v>6.8979753046313297</c:v>
                </c:pt>
                <c:pt idx="4">
                  <c:v>26.343992039522011</c:v>
                </c:pt>
                <c:pt idx="5">
                  <c:v>17.911850153301931</c:v>
                </c:pt>
                <c:pt idx="6">
                  <c:v>6.7503417266623664</c:v>
                </c:pt>
                <c:pt idx="7">
                  <c:v>13.505392066691515</c:v>
                </c:pt>
                <c:pt idx="8">
                  <c:v>2.4880411663526449</c:v>
                </c:pt>
                <c:pt idx="9">
                  <c:v>17.966955611104023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6-43C5-8EA4-8F53C04E4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04392"/>
        <c:axId val="13009312"/>
        <c:axId val="0"/>
      </c:bar3DChart>
      <c:catAx>
        <c:axId val="1300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9312"/>
        <c:crosses val="autoZero"/>
        <c:auto val="1"/>
        <c:lblAlgn val="ctr"/>
        <c:lblOffset val="100"/>
        <c:noMultiLvlLbl val="0"/>
      </c:catAx>
      <c:valAx>
        <c:axId val="130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491672</xdr:colOff>
      <xdr:row>18</xdr:row>
      <xdr:rowOff>908</xdr:rowOff>
    </xdr:from>
    <xdr:to>
      <xdr:col>4</xdr:col>
      <xdr:colOff>440746</xdr:colOff>
      <xdr:row>30</xdr:row>
      <xdr:rowOff>8134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621549</xdr:colOff>
      <xdr:row>17</xdr:row>
      <xdr:rowOff>175173</xdr:rowOff>
    </xdr:from>
    <xdr:to>
      <xdr:col>6</xdr:col>
      <xdr:colOff>717895</xdr:colOff>
      <xdr:row>29</xdr:row>
      <xdr:rowOff>175173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871313</xdr:colOff>
      <xdr:row>17</xdr:row>
      <xdr:rowOff>178129</xdr:rowOff>
    </xdr:from>
    <xdr:to>
      <xdr:col>8</xdr:col>
      <xdr:colOff>773547</xdr:colOff>
      <xdr:row>29</xdr:row>
      <xdr:rowOff>148441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1290710</xdr:colOff>
      <xdr:row>1</xdr:row>
      <xdr:rowOff>23446</xdr:rowOff>
    </xdr:from>
    <xdr:to>
      <xdr:col>11</xdr:col>
      <xdr:colOff>117230</xdr:colOff>
      <xdr:row>20</xdr:row>
      <xdr:rowOff>23445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Компания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мпа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96187" y="211015"/>
              <a:ext cx="3797105" cy="3563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586738</xdr:colOff>
      <xdr:row>0</xdr:row>
      <xdr:rowOff>186397</xdr:rowOff>
    </xdr:from>
    <xdr:to>
      <xdr:col>16</xdr:col>
      <xdr:colOff>117229</xdr:colOff>
      <xdr:row>19</xdr:row>
      <xdr:rowOff>140678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Год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62800" y="186397"/>
              <a:ext cx="2578491" cy="35180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35167</xdr:colOff>
      <xdr:row>1</xdr:row>
      <xdr:rowOff>9964</xdr:rowOff>
    </xdr:from>
    <xdr:to>
      <xdr:col>21</xdr:col>
      <xdr:colOff>586153</xdr:colOff>
      <xdr:row>20</xdr:row>
      <xdr:rowOff>-1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Продукция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одукц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68829" y="197533"/>
              <a:ext cx="2989386" cy="3553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35035</xdr:colOff>
      <xdr:row>0</xdr:row>
      <xdr:rowOff>0</xdr:rowOff>
    </xdr:from>
    <xdr:to>
      <xdr:col>10</xdr:col>
      <xdr:colOff>315310</xdr:colOff>
      <xdr:row>15</xdr:row>
      <xdr:rowOff>17517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52551</xdr:colOff>
      <xdr:row>18</xdr:row>
      <xdr:rowOff>156778</xdr:rowOff>
    </xdr:from>
    <xdr:to>
      <xdr:col>13</xdr:col>
      <xdr:colOff>8758</xdr:colOff>
      <xdr:row>36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845820</xdr:colOff>
      <xdr:row>2</xdr:row>
      <xdr:rowOff>8709</xdr:rowOff>
    </xdr:from>
    <xdr:to>
      <xdr:col>12</xdr:col>
      <xdr:colOff>32657</xdr:colOff>
      <xdr:row>18</xdr:row>
      <xdr:rowOff>163285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Компания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мпания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85334" y="378823"/>
              <a:ext cx="3747952" cy="31154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30478</xdr:colOff>
      <xdr:row>2</xdr:row>
      <xdr:rowOff>31569</xdr:rowOff>
    </xdr:from>
    <xdr:to>
      <xdr:col>19</xdr:col>
      <xdr:colOff>10885</xdr:colOff>
      <xdr:row>19</xdr:row>
      <xdr:rowOff>32657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Продукция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одукция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40707" y="401683"/>
              <a:ext cx="3638007" cy="3147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ina" refreshedDate="45975.886403240744" createdVersion="6" refreshedVersion="6" minRefreshableVersion="3" recordCount="391">
  <cacheSource type="worksheet">
    <worksheetSource ref="A1:H1048576" sheet="Вариант1"/>
  </cacheSource>
  <cacheFields count="8">
    <cacheField name="Компания" numFmtId="0">
      <sharedItems containsBlank="1" count="11">
        <s v="МДФ"/>
        <s v="Аргус-Волга"/>
        <s v="Онежский компбинат"/>
        <s v="Сокольский комбинат"/>
        <s v="Илим"/>
        <s v="Енисей"/>
        <s v="Н.М комбинат"/>
        <s v="ВЛПХ"/>
        <s v="ИвДревПлит"/>
        <s v="Лестех"/>
        <m/>
      </sharedItems>
    </cacheField>
    <cacheField name="Год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Продукция" numFmtId="0">
      <sharedItems containsBlank="1" count="112" longText="1">
        <s v="Древесноволокнистая плита, шлифованная, 16 мм"/>
        <s v="Древесноволокнистая плита, шлифованная, 18 мм"/>
        <s v="Древесноволокнистая плита, ламинированная &quot;Дуб&quot;, 16 мм"/>
        <s v="Древесноволокнистая плита, ламинированная &quot;Белый&quot;, 16 мм"/>
        <s v="Древесноволокнистая плита, крашенная белая, 19 мм"/>
        <s v="Древесноволокнистая плита, влагостойкая, 18 мм"/>
        <s v="Древесноволокнистая плита, фигурная фасадная, 19 мм"/>
        <s v="Брус клееный 100x100 мм"/>
        <s v="Доска строганная 50x150x6000 мм"/>
        <s v="Оцилиндрованное бревно 240 мм"/>
        <s v="Имитация бруса 21x146 мм"/>
        <s v="Вагонка Штиль 12,5x96 мм"/>
        <s v="Блок-Хаус 36x190 мм"/>
        <s v="Мебельный щит из сосны 40x600x1200 мм"/>
        <s v="Брус сухой строганный 100x100x6000 мм"/>
        <s v="Брус сухой строганный 150x150x6000 мм"/>
        <s v="Доска сухая строганная 50x150x6000 мм"/>
        <s v="Доска сухая строганная 25x150x6000 мм"/>
        <s v="Террасная доска из лиственницы 27x145 мм"/>
        <s v="Планкен фасадный из лиственницы 20x70 мм"/>
        <s v="Вагонка евро 12.5x96 мм"/>
        <s v="Блок-Хаус 28x190 мм"/>
        <s v="Доска пола шпунтованная 36x135 мм"/>
        <s v="Мебельный щит 40x600x1200 мм"/>
        <s v="Рейка обрешетки 30x50 мм"/>
        <s v="Брус клееный 100x100x6000 мм"/>
        <s v="Брус клееный 150x150x6000 мм"/>
        <s v="Домокомплект &quot;Дачный&quot; (каркас)"/>
        <s v="Домокомплект &quot;Баня&quot; (сруб)"/>
        <s v="Балка клееная 100x200x6000 мм"/>
        <s v="Оконный брус клееный"/>
        <s v="Домокомплект &quot;Гостевой дом&quot;"/>
        <s v="Стропильная система (КДК)"/>
        <s v="Панель стеновая СИП"/>
        <s v="Террасная доска 45x145 мм"/>
        <s v="Арка клееная (КДК)"/>
        <s v="Лестница деревянная (КДК)"/>
        <s v="Колонна декоративная (КДК)"/>
        <s v="Ферма клееная 12м (КДК)"/>
        <s v="Целлюлоза беленая хвойная"/>
        <s v="Целлюлоза беленая лиственная"/>
        <s v="Картон гофрированный"/>
        <s v="Бумага газетная"/>
        <s v="Бумага офсетная"/>
        <s v="Древесная масса"/>
        <s v="Гофротара (ящики)"/>
        <s v="Целлюлоза сульфатная небеленая"/>
        <s v="Упаковка картонная потребительская"/>
        <s v="Бумага мелованная"/>
        <s v="Крафт-лайнер"/>
        <s v="Целлюлоза техническая"/>
        <s v="Доска калиброванная 50/45/40/35/30/21/18 х 190/140/120/95 мм."/>
        <s v="Доска пола 45 х 135 мм."/>
        <s v="Доска пола 36 х 135/115 мм."/>
        <s v="Доска пола 28 х 135/115 мм."/>
        <s v="Доска пола 21 х 115/90 мм."/>
        <s v="Брус сухой строганный 100х100 / 100х150 / 150х150 мм."/>
        <s v="Брус сухой строганный 100х200 / 150х200 мм."/>
        <s v="Блок-Хаус 36/28 х 185/135 мм."/>
        <s v="Имитация бруса 21 х 135 мм."/>
        <s v="Имитация бруса 21 х 185 мм."/>
        <s v="Имитация бруса 19 х 160 мм."/>
        <s v="Имитация бруса 16 х 135 мм."/>
        <s v="Вагонка 20 х 90 мм."/>
        <s v="Вагонка Штиль 12,5 х 110/90 мм."/>
        <s v="Евровагонка 12,5 х 90 мм."/>
    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    <s v="Монтажные работы"/>
    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    <s v="Доставка продукции г.Н.Новгород-г. Мосвка/Московская обл."/>
        <s v="Брус стеновой профилированный ширина 120 240мм высота 140 200мм с зарезкой согласно проекту сосна/ель"/>
        <s v="Брус конструкционный прямолинейный ширина 100 200мм высота до 1950 мм сосна/ель"/>
        <s v="Брус конструкционный криволинейный ширина 100 200мм высота до 1950 мм сосна/ель"/>
        <s v="Имитация бруса"/>
        <s v="Сканд. фасадная доска"/>
        <s v="Евровагонка"/>
        <s v="Вагонка Штиль"/>
        <s v="Вагонка Профлайн"/>
        <s v="Блок хаус"/>
        <s v="Доска пола"/>
        <s v="Террасная доска"/>
        <s v="Планкен"/>
        <s v="Доска сухая строганая"/>
        <s v="Доска сухая обрезная"/>
        <s v="Брус е/влажн"/>
        <s v="Брус клееный гладкий"/>
        <s v="Брусок/рейка"/>
        <s v="ОСП плита (OSB-3)"/>
        <s v="Мебельный щит хвоя"/>
        <s v="Брикеты топливные"/>
        <s v="Фанера 1/2 Ш2"/>
        <s v="Фанера 2/2 Ш2"/>
        <s v="Фанера 2/3 Ш2"/>
        <s v="Фанера 2/4 Ш2"/>
        <s v="Фанера 3/3 Ш2"/>
        <s v="Фанера 3/4 Ш2"/>
        <s v="Фанера 4/4 НШ"/>
        <s v="Отходы лесопиления (от бруса)"/>
        <s v="Пиломатериал хвойный, обрезной, ГОСТ 8486-86, влаж. естественная, 21-60"/>
        <s v="Отходы лесопиления, участка лесопиления, (дровяная доска)"/>
        <s v="Пиломатериал хвойный, обрезной, ГОСТ 26002-83, влаж. транспортная, 20+-2% (по заказу)"/>
        <s v="Отходы лесопиления (отторцовка от доски)"/>
        <s v="Пиломатериал хвойный, обрезной, ГОСТ 8486-86, влаж. естественная, 21-28мм (поддонная доска)"/>
        <s v="Отходы с линии сортировки"/>
        <s v="Пиломатериал хвойный ест. влаж. 21-60мм (торцы)"/>
        <m/>
      </sharedItems>
    </cacheField>
    <cacheField name="Цена, руб" numFmtId="0">
      <sharedItems containsString="0" containsBlank="1" containsNumber="1" containsInteger="1" minValue="250" maxValue="1320000"/>
    </cacheField>
    <cacheField name="Количество, шт" numFmtId="0">
      <sharedItems containsString="0" containsBlank="1" containsNumber="1" containsInteger="1" minValue="0" maxValue="686333"/>
    </cacheField>
    <cacheField name="Выручка, руб" numFmtId="0">
      <sharedItems containsString="0" containsBlank="1" containsNumber="1" containsInteger="1" minValue="0" maxValue="59710971000"/>
    </cacheField>
    <cacheField name="Годовая выручка, руб" numFmtId="0">
      <sharedItems containsString="0" containsBlank="1" containsNumber="1" containsInteger="1" minValue="1030000" maxValue="207084881000"/>
    </cacheField>
    <cacheField name="Годовая прибыль, руб." numFmtId="0">
      <sharedItems containsString="0" containsBlank="1" containsNumber="1" containsInteger="1" minValue="-172000" maxValue="57784864000" count="31">
        <n v="202576000"/>
        <n v="681559000"/>
        <n v="717073000"/>
        <n v="103569000"/>
        <n v="133969000"/>
        <n v="78763000"/>
        <n v="431400000"/>
        <n v="544435000"/>
        <n v="441191000"/>
        <n v="185620000"/>
        <n v="544978000"/>
        <n v="222297000"/>
        <n v="57784864000"/>
        <n v="44345327000"/>
        <n v="48865950000"/>
        <n v="226651000"/>
        <n v="705874000"/>
        <n v="490208000"/>
        <n v="31720000"/>
        <n v="117326000"/>
        <n v="3286000"/>
        <n v="324784000"/>
        <n v="11958000"/>
        <n v="106833000"/>
        <n v="373000"/>
        <n v="963000"/>
        <n v="1027000"/>
        <n v="-172000"/>
        <n v="626000"/>
        <n v="261200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rina" refreshedDate="45975.889649884259" createdVersion="6" refreshedVersion="6" minRefreshableVersion="3" recordCount="391">
  <cacheSource type="worksheet">
    <worksheetSource ref="B1:H1048576" sheet="Вариант1"/>
  </cacheSource>
  <cacheFields count="7">
    <cacheField name="Год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Продукция" numFmtId="0">
      <sharedItems containsBlank="1" longText="1"/>
    </cacheField>
    <cacheField name="Цена, руб" numFmtId="0">
      <sharedItems containsString="0" containsBlank="1" containsNumber="1" containsInteger="1" minValue="250" maxValue="1320000"/>
    </cacheField>
    <cacheField name="Количество, шт" numFmtId="0">
      <sharedItems containsString="0" containsBlank="1" containsNumber="1" containsInteger="1" minValue="0" maxValue="686333"/>
    </cacheField>
    <cacheField name="Выручка, руб" numFmtId="0">
      <sharedItems containsString="0" containsBlank="1" containsNumber="1" containsInteger="1" minValue="0" maxValue="59710971000"/>
    </cacheField>
    <cacheField name="Годовая выручка, руб" numFmtId="0">
      <sharedItems containsString="0" containsBlank="1" containsNumber="1" containsInteger="1" minValue="1030000" maxValue="207084881000"/>
    </cacheField>
    <cacheField name="Годовая прибыль, руб." numFmtId="0">
      <sharedItems containsString="0" containsBlank="1" containsNumber="1" containsInteger="1" minValue="-172000" maxValue="577848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arina" refreshedDate="45976.844992939812" createdVersion="6" refreshedVersion="6" minRefreshableVersion="3" recordCount="391">
  <cacheSource type="worksheet">
    <worksheetSource ref="A1:J1048576" sheet="Вариант1"/>
  </cacheSource>
  <cacheFields count="10">
    <cacheField name="Компания" numFmtId="0">
      <sharedItems containsBlank="1" count="11">
        <s v="МДФ"/>
        <s v="Аргус-Волга"/>
        <s v="Онежский компбинат"/>
        <s v="Сокольский комбинат"/>
        <s v="Илим"/>
        <s v="Енисей"/>
        <s v="Н.М комбинат"/>
        <s v="ВЛПХ"/>
        <s v="ИвДревПлит"/>
        <s v="Лестех"/>
        <m/>
      </sharedItems>
    </cacheField>
    <cacheField name="Год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Продукция" numFmtId="0">
      <sharedItems containsBlank="1" count="112" longText="1">
        <s v="Древесноволокнистая плита, шлифованная, 16 мм"/>
        <s v="Древесноволокнистая плита, шлифованная, 18 мм"/>
        <s v="Древесноволокнистая плита, ламинированная &quot;Дуб&quot;, 16 мм"/>
        <s v="Древесноволокнистая плита, ламинированная &quot;Белый&quot;, 16 мм"/>
        <s v="Древесноволокнистая плита, крашенная белая, 19 мм"/>
        <s v="Древесноволокнистая плита, влагостойкая, 18 мм"/>
        <s v="Древесноволокнистая плита, фигурная фасадная, 19 мм"/>
        <s v="Брус клееный 100x100 мм"/>
        <s v="Доска строганная 50x150x6000 мм"/>
        <s v="Оцилиндрованное бревно 240 мм"/>
        <s v="Имитация бруса 21x146 мм"/>
        <s v="Вагонка Штиль 12,5x96 мм"/>
        <s v="Блок-Хаус 36x190 мм"/>
        <s v="Мебельный щит из сосны 40x600x1200 мм"/>
        <s v="Брус сухой строганный 100x100x6000 мм"/>
        <s v="Брус сухой строганный 150x150x6000 мм"/>
        <s v="Доска сухая строганная 50x150x6000 мм"/>
        <s v="Доска сухая строганная 25x150x6000 мм"/>
        <s v="Террасная доска из лиственницы 27x145 мм"/>
        <s v="Планкен фасадный из лиственницы 20x70 мм"/>
        <s v="Вагонка евро 12.5x96 мм"/>
        <s v="Блок-Хаус 28x190 мм"/>
        <s v="Доска пола шпунтованная 36x135 мм"/>
        <s v="Мебельный щит 40x600x1200 мм"/>
        <s v="Рейка обрешетки 30x50 мм"/>
        <s v="Брус клееный 100x100x6000 мм"/>
        <s v="Брус клееный 150x150x6000 мм"/>
        <s v="Домокомплект &quot;Дачный&quot; (каркас)"/>
        <s v="Домокомплект &quot;Баня&quot; (сруб)"/>
        <s v="Балка клееная 100x200x6000 мм"/>
        <s v="Оконный брус клееный"/>
        <s v="Домокомплект &quot;Гостевой дом&quot;"/>
        <s v="Стропильная система (КДК)"/>
        <s v="Панель стеновая СИП"/>
        <s v="Террасная доска 45x145 мм"/>
        <s v="Арка клееная (КДК)"/>
        <s v="Лестница деревянная (КДК)"/>
        <s v="Колонна декоративная (КДК)"/>
        <s v="Ферма клееная 12м (КДК)"/>
        <s v="Целлюлоза беленая хвойная"/>
        <s v="Целлюлоза беленая лиственная"/>
        <s v="Картон гофрированный"/>
        <s v="Бумага газетная"/>
        <s v="Бумага офсетная"/>
        <s v="Древесная масса"/>
        <s v="Гофротара (ящики)"/>
        <s v="Целлюлоза сульфатная небеленая"/>
        <s v="Упаковка картонная потребительская"/>
        <s v="Бумага мелованная"/>
        <s v="Крафт-лайнер"/>
        <s v="Целлюлоза техническая"/>
        <s v="Доска калиброванная 50/45/40/35/30/21/18 х 190/140/120/95 мм."/>
        <s v="Доска пола 45 х 135 мм."/>
        <s v="Доска пола 36 х 135/115 мм."/>
        <s v="Доска пола 28 х 135/115 мм."/>
        <s v="Доска пола 21 х 115/90 мм."/>
        <s v="Брус сухой строганный 100х100 / 100х150 / 150х150 мм."/>
        <s v="Брус сухой строганный 100х200 / 150х200 мм."/>
        <s v="Блок-Хаус 36/28 х 185/135 мм."/>
        <s v="Имитация бруса 21 х 135 мм."/>
        <s v="Имитация бруса 21 х 185 мм."/>
        <s v="Имитация бруса 19 х 160 мм."/>
        <s v="Имитация бруса 16 х 135 мм."/>
        <s v="Вагонка 20 х 90 мм."/>
        <s v="Вагонка Штиль 12,5 х 110/90 мм."/>
        <s v="Евровагонка 12,5 х 90 мм."/>
    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    <s v="Монтажные работы"/>
    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    <s v="Доставка продукции г.Н.Новгород-г. Мосвка/Московская обл."/>
        <s v="Брус стеновой профилированный ширина 120 240мм высота 140 200мм с зарезкой согласно проекту сосна/ель"/>
        <s v="Брус конструкционный прямолинейный ширина 100 200мм высота до 1950 мм сосна/ель"/>
        <s v="Брус конструкционный криволинейный ширина 100 200мм высота до 1950 мм сосна/ель"/>
        <s v="Имитация бруса"/>
        <s v="Сканд. фасадная доска"/>
        <s v="Евровагонка"/>
        <s v="Вагонка Штиль"/>
        <s v="Вагонка Профлайн"/>
        <s v="Блок хаус"/>
        <s v="Доска пола"/>
        <s v="Террасная доска"/>
        <s v="Планкен"/>
        <s v="Доска сухая строганая"/>
        <s v="Доска сухая обрезная"/>
        <s v="Брус е/влажн"/>
        <s v="Брус клееный гладкий"/>
        <s v="Брусок/рейка"/>
        <s v="ОСП плита (OSB-3)"/>
        <s v="Мебельный щит хвоя"/>
        <s v="Брикеты топливные"/>
        <s v="Фанера 1/2 Ш2"/>
        <s v="Фанера 2/2 Ш2"/>
        <s v="Фанера 2/3 Ш2"/>
        <s v="Фанера 2/4 Ш2"/>
        <s v="Фанера 3/3 Ш2"/>
        <s v="Фанера 3/4 Ш2"/>
        <s v="Фанера 4/4 НШ"/>
        <s v="Отходы лесопиления (от бруса)"/>
        <s v="Пиломатериал хвойный, обрезной, ГОСТ 8486-86, влаж. естественная, 21-60"/>
        <s v="Отходы лесопиления, участка лесопиления, (дровяная доска)"/>
        <s v="Пиломатериал хвойный, обрезной, ГОСТ 26002-83, влаж. транспортная, 20+-2% (по заказу)"/>
        <s v="Отходы лесопиления (отторцовка от доски)"/>
        <s v="Пиломатериал хвойный, обрезной, ГОСТ 8486-86, влаж. естественная, 21-28мм (поддонная доска)"/>
        <s v="Отходы с линии сортировки"/>
        <s v="Пиломатериал хвойный ест. влаж. 21-60мм (торцы)"/>
        <m/>
      </sharedItems>
    </cacheField>
    <cacheField name="Цена, руб" numFmtId="0">
      <sharedItems containsString="0" containsBlank="1" containsNumber="1" containsInteger="1" minValue="250" maxValue="1320000"/>
    </cacheField>
    <cacheField name="Количество, шт" numFmtId="0">
      <sharedItems containsString="0" containsBlank="1" containsNumber="1" containsInteger="1" minValue="0" maxValue="686333"/>
    </cacheField>
    <cacheField name="Выручка, руб" numFmtId="0">
      <sharedItems containsString="0" containsBlank="1" containsNumber="1" containsInteger="1" minValue="0" maxValue="10990575000"/>
    </cacheField>
    <cacheField name="Годовая выручка, руб" numFmtId="0">
      <sharedItems containsString="0" containsBlank="1" containsNumber="1" containsInteger="1" minValue="1030000" maxValue="207084881000"/>
    </cacheField>
    <cacheField name="Годовая прибыль, руб." numFmtId="0">
      <sharedItems containsString="0" containsBlank="1" containsNumber="1" containsInteger="1" minValue="-172000" maxValue="57784864000"/>
    </cacheField>
    <cacheField name="Рентабельность, %" numFmtId="0">
      <sharedItems containsString="0" containsBlank="1" containsNumber="1" minValue="0" maxValue="401917.47572815535"/>
    </cacheField>
    <cacheField name="Рентабельность по прибыли,%" numFmtId="0">
      <sharedItems containsString="0" containsBlank="1" containsNumber="1" minValue="-0.19975147200576027" maxValue="659147.96905222442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n v="4500"/>
    <n v="154047"/>
    <n v="693211500"/>
    <n v="2750148000"/>
    <x v="0"/>
  </r>
  <r>
    <x v="0"/>
    <x v="0"/>
    <x v="1"/>
    <n v="5000"/>
    <n v="109324"/>
    <n v="546620000"/>
    <n v="2750148000"/>
    <x v="0"/>
  </r>
  <r>
    <x v="0"/>
    <x v="0"/>
    <x v="2"/>
    <n v="8000"/>
    <n v="84538"/>
    <n v="676304000"/>
    <n v="2750148000"/>
    <x v="0"/>
  </r>
  <r>
    <x v="0"/>
    <x v="0"/>
    <x v="3"/>
    <n v="8200"/>
    <n v="49693"/>
    <n v="407482600"/>
    <n v="2750148000"/>
    <x v="0"/>
  </r>
  <r>
    <x v="0"/>
    <x v="0"/>
    <x v="4"/>
    <n v="9500"/>
    <n v="27828"/>
    <n v="264366000"/>
    <n v="2750148000"/>
    <x v="0"/>
  </r>
  <r>
    <x v="0"/>
    <x v="0"/>
    <x v="5"/>
    <n v="10000"/>
    <n v="14558"/>
    <n v="145580000"/>
    <n v="2750148000"/>
    <x v="0"/>
  </r>
  <r>
    <x v="0"/>
    <x v="0"/>
    <x v="6"/>
    <n v="12500"/>
    <n v="1326"/>
    <n v="16575000"/>
    <n v="2750148000"/>
    <x v="0"/>
  </r>
  <r>
    <x v="0"/>
    <x v="1"/>
    <x v="0"/>
    <n v="4700"/>
    <n v="83772"/>
    <n v="393728400"/>
    <n v="1466712000"/>
    <x v="1"/>
  </r>
  <r>
    <x v="0"/>
    <x v="1"/>
    <x v="1"/>
    <n v="5200"/>
    <n v="60502"/>
    <n v="314610400"/>
    <n v="1466712000"/>
    <x v="1"/>
  </r>
  <r>
    <x v="0"/>
    <x v="1"/>
    <x v="2"/>
    <n v="8300"/>
    <n v="46540"/>
    <n v="386282000"/>
    <n v="1466712000"/>
    <x v="1"/>
  </r>
  <r>
    <x v="0"/>
    <x v="1"/>
    <x v="3"/>
    <n v="8500"/>
    <n v="23270"/>
    <n v="197795000"/>
    <n v="1466712000"/>
    <x v="1"/>
  </r>
  <r>
    <x v="0"/>
    <x v="1"/>
    <x v="4"/>
    <n v="9800"/>
    <n v="11170"/>
    <n v="109466000"/>
    <n v="1466712000"/>
    <x v="1"/>
  </r>
  <r>
    <x v="0"/>
    <x v="1"/>
    <x v="5"/>
    <n v="10200"/>
    <n v="5167"/>
    <n v="52703400"/>
    <n v="1466712000"/>
    <x v="1"/>
  </r>
  <r>
    <x v="0"/>
    <x v="1"/>
    <x v="6"/>
    <n v="13000"/>
    <n v="931"/>
    <n v="12103000"/>
    <n v="1466712000"/>
    <x v="1"/>
  </r>
  <r>
    <x v="0"/>
    <x v="2"/>
    <x v="0"/>
    <n v="4800"/>
    <n v="72437"/>
    <n v="347697600"/>
    <n v="1156276000"/>
    <x v="2"/>
  </r>
  <r>
    <x v="0"/>
    <x v="2"/>
    <x v="1"/>
    <n v="5300"/>
    <n v="53121"/>
    <n v="281541300"/>
    <n v="1156276000"/>
    <x v="2"/>
  </r>
  <r>
    <x v="0"/>
    <x v="2"/>
    <x v="2"/>
    <n v="8500"/>
    <n v="33804"/>
    <n v="287334000"/>
    <n v="1156276000"/>
    <x v="2"/>
  </r>
  <r>
    <x v="0"/>
    <x v="2"/>
    <x v="3"/>
    <n v="8700"/>
    <n v="14487"/>
    <n v="126036900"/>
    <n v="1156276000"/>
    <x v="2"/>
  </r>
  <r>
    <x v="0"/>
    <x v="2"/>
    <x v="4"/>
    <n v="10000"/>
    <n v="5795"/>
    <n v="57950000"/>
    <n v="1156276000"/>
    <x v="2"/>
  </r>
  <r>
    <x v="0"/>
    <x v="2"/>
    <x v="5"/>
    <n v="10500"/>
    <n v="4394"/>
    <n v="46137000"/>
    <n v="1156276000"/>
    <x v="2"/>
  </r>
  <r>
    <x v="0"/>
    <x v="2"/>
    <x v="6"/>
    <n v="13200"/>
    <n v="724"/>
    <n v="9556800"/>
    <n v="1156276000"/>
    <x v="2"/>
  </r>
  <r>
    <x v="1"/>
    <x v="0"/>
    <x v="7"/>
    <n v="18478"/>
    <n v="11942"/>
    <n v="220664276"/>
    <n v="1155052000"/>
    <x v="3"/>
  </r>
  <r>
    <x v="1"/>
    <x v="0"/>
    <x v="8"/>
    <n v="9788"/>
    <n v="14458"/>
    <n v="141514904"/>
    <n v="1155052000"/>
    <x v="3"/>
  </r>
  <r>
    <x v="1"/>
    <x v="0"/>
    <x v="9"/>
    <n v="11189"/>
    <n v="17121"/>
    <n v="191566869"/>
    <n v="1155052000"/>
    <x v="3"/>
  </r>
  <r>
    <x v="1"/>
    <x v="0"/>
    <x v="10"/>
    <n v="6492"/>
    <n v="30533"/>
    <n v="198220236"/>
    <n v="1155052000"/>
    <x v="3"/>
  </r>
  <r>
    <x v="1"/>
    <x v="0"/>
    <x v="11"/>
    <n v="5193"/>
    <n v="36620"/>
    <n v="190167660"/>
    <n v="1155052000"/>
    <x v="3"/>
  </r>
  <r>
    <x v="1"/>
    <x v="0"/>
    <x v="12"/>
    <n v="8090"/>
    <n v="24065"/>
    <n v="194685850"/>
    <n v="1155052000"/>
    <x v="3"/>
  </r>
  <r>
    <x v="1"/>
    <x v="0"/>
    <x v="13"/>
    <n v="4296"/>
    <n v="4244"/>
    <n v="18232224"/>
    <n v="1155052000"/>
    <x v="3"/>
  </r>
  <r>
    <x v="1"/>
    <x v="1"/>
    <x v="7"/>
    <n v="19200"/>
    <n v="15970"/>
    <n v="306624000"/>
    <n v="1568018000"/>
    <x v="4"/>
  </r>
  <r>
    <x v="1"/>
    <x v="1"/>
    <x v="8"/>
    <n v="10500"/>
    <n v="19899"/>
    <n v="208939500"/>
    <n v="1568018000"/>
    <x v="4"/>
  </r>
  <r>
    <x v="1"/>
    <x v="1"/>
    <x v="9"/>
    <n v="11800"/>
    <n v="22819"/>
    <n v="269264200"/>
    <n v="1568018000"/>
    <x v="4"/>
  </r>
  <r>
    <x v="1"/>
    <x v="1"/>
    <x v="10"/>
    <n v="6900"/>
    <n v="37156"/>
    <n v="256376400"/>
    <n v="1568018000"/>
    <x v="4"/>
  </r>
  <r>
    <x v="1"/>
    <x v="1"/>
    <x v="11"/>
    <n v="5500"/>
    <n v="45999"/>
    <n v="252994500"/>
    <n v="1568018000"/>
    <x v="4"/>
  </r>
  <r>
    <x v="1"/>
    <x v="1"/>
    <x v="12"/>
    <n v="8600"/>
    <n v="28749"/>
    <n v="247241400"/>
    <n v="1568018000"/>
    <x v="4"/>
  </r>
  <r>
    <x v="1"/>
    <x v="1"/>
    <x v="13"/>
    <n v="4600"/>
    <n v="5774"/>
    <n v="26560400"/>
    <n v="1568018000"/>
    <x v="4"/>
  </r>
  <r>
    <x v="1"/>
    <x v="2"/>
    <x v="7"/>
    <n v="20000"/>
    <n v="19365"/>
    <n v="387300000"/>
    <n v="1992795000"/>
    <x v="5"/>
  </r>
  <r>
    <x v="1"/>
    <x v="2"/>
    <x v="8"/>
    <n v="11200"/>
    <n v="24099"/>
    <n v="269908800"/>
    <n v="1992795000"/>
    <x v="5"/>
  </r>
  <r>
    <x v="1"/>
    <x v="2"/>
    <x v="9"/>
    <n v="12500"/>
    <n v="27541"/>
    <n v="344262500"/>
    <n v="1992795000"/>
    <x v="5"/>
  </r>
  <r>
    <x v="1"/>
    <x v="2"/>
    <x v="10"/>
    <n v="7400"/>
    <n v="43034"/>
    <n v="318451600"/>
    <n v="1992795000"/>
    <x v="5"/>
  </r>
  <r>
    <x v="1"/>
    <x v="2"/>
    <x v="11"/>
    <n v="5800"/>
    <n v="55944"/>
    <n v="324475200"/>
    <n v="1992795000"/>
    <x v="5"/>
  </r>
  <r>
    <x v="1"/>
    <x v="2"/>
    <x v="12"/>
    <n v="9100"/>
    <n v="34427"/>
    <n v="313285700"/>
    <n v="1992795000"/>
    <x v="5"/>
  </r>
  <r>
    <x v="1"/>
    <x v="2"/>
    <x v="13"/>
    <n v="4900"/>
    <n v="7164"/>
    <n v="35103600"/>
    <n v="1992795000"/>
    <x v="5"/>
  </r>
  <r>
    <x v="2"/>
    <x v="0"/>
    <x v="14"/>
    <n v="16500"/>
    <n v="35896"/>
    <n v="592284000"/>
    <n v="2946303000"/>
    <x v="6"/>
  </r>
  <r>
    <x v="2"/>
    <x v="0"/>
    <x v="15"/>
    <n v="24000"/>
    <n v="20782"/>
    <n v="498768000"/>
    <n v="2946303000"/>
    <x v="6"/>
  </r>
  <r>
    <x v="2"/>
    <x v="0"/>
    <x v="16"/>
    <n v="11200"/>
    <n v="33062"/>
    <n v="370294400"/>
    <n v="2946303000"/>
    <x v="6"/>
  </r>
  <r>
    <x v="2"/>
    <x v="0"/>
    <x v="17"/>
    <n v="8500"/>
    <n v="40101"/>
    <n v="340858500"/>
    <n v="2946303000"/>
    <x v="6"/>
  </r>
  <r>
    <x v="2"/>
    <x v="0"/>
    <x v="18"/>
    <n v="13500"/>
    <n v="16170"/>
    <n v="218295000"/>
    <n v="2946303000"/>
    <x v="6"/>
  </r>
  <r>
    <x v="2"/>
    <x v="0"/>
    <x v="19"/>
    <n v="12800"/>
    <n v="15114"/>
    <n v="193459200"/>
    <n v="2946303000"/>
    <x v="6"/>
  </r>
  <r>
    <x v="2"/>
    <x v="0"/>
    <x v="10"/>
    <n v="9200"/>
    <n v="18893"/>
    <n v="173815600"/>
    <n v="2946303000"/>
    <x v="6"/>
  </r>
  <r>
    <x v="2"/>
    <x v="0"/>
    <x v="20"/>
    <n v="7800"/>
    <n v="18893"/>
    <n v="147365400"/>
    <n v="2946303000"/>
    <x v="6"/>
  </r>
  <r>
    <x v="2"/>
    <x v="0"/>
    <x v="21"/>
    <n v="10500"/>
    <n v="13225"/>
    <n v="138862500"/>
    <n v="2946303000"/>
    <x v="6"/>
  </r>
  <r>
    <x v="2"/>
    <x v="0"/>
    <x v="22"/>
    <n v="12200"/>
    <n v="10391"/>
    <n v="126770200"/>
    <n v="2946303000"/>
    <x v="6"/>
  </r>
  <r>
    <x v="2"/>
    <x v="0"/>
    <x v="23"/>
    <n v="5600"/>
    <n v="14169"/>
    <n v="79346400"/>
    <n v="2946303000"/>
    <x v="6"/>
  </r>
  <r>
    <x v="2"/>
    <x v="0"/>
    <x v="24"/>
    <n v="3500"/>
    <n v="18893"/>
    <n v="66125500"/>
    <n v="2946303000"/>
    <x v="6"/>
  </r>
  <r>
    <x v="2"/>
    <x v="1"/>
    <x v="14"/>
    <n v="17200"/>
    <n v="38132"/>
    <n v="655870400"/>
    <n v="3387456000"/>
    <x v="7"/>
  </r>
  <r>
    <x v="2"/>
    <x v="1"/>
    <x v="15"/>
    <n v="25000"/>
    <n v="23568"/>
    <n v="589200000"/>
    <n v="3387456000"/>
    <x v="7"/>
  </r>
  <r>
    <x v="2"/>
    <x v="1"/>
    <x v="16"/>
    <n v="11800"/>
    <n v="36316"/>
    <n v="428528800"/>
    <n v="3387456000"/>
    <x v="7"/>
  </r>
  <r>
    <x v="2"/>
    <x v="1"/>
    <x v="17"/>
    <n v="8900"/>
    <n v="40856"/>
    <n v="363618400"/>
    <n v="3387456000"/>
    <x v="7"/>
  </r>
  <r>
    <x v="2"/>
    <x v="1"/>
    <x v="18"/>
    <n v="14200"/>
    <n v="19066"/>
    <n v="270737200"/>
    <n v="3387456000"/>
    <x v="7"/>
  </r>
  <r>
    <x v="2"/>
    <x v="1"/>
    <x v="19"/>
    <n v="13500"/>
    <n v="16342"/>
    <n v="220617000"/>
    <n v="3387456000"/>
    <x v="7"/>
  </r>
  <r>
    <x v="2"/>
    <x v="1"/>
    <x v="10"/>
    <n v="9700"/>
    <n v="19974"/>
    <n v="193747800"/>
    <n v="3387456000"/>
    <x v="7"/>
  </r>
  <r>
    <x v="2"/>
    <x v="1"/>
    <x v="20"/>
    <n v="8200"/>
    <n v="20882"/>
    <n v="171232400"/>
    <n v="3387456000"/>
    <x v="7"/>
  </r>
  <r>
    <x v="2"/>
    <x v="1"/>
    <x v="21"/>
    <n v="11100"/>
    <n v="14526"/>
    <n v="161238600"/>
    <n v="3387456000"/>
    <x v="7"/>
  </r>
  <r>
    <x v="2"/>
    <x v="1"/>
    <x v="22"/>
    <n v="12900"/>
    <n v="11803"/>
    <n v="152258700"/>
    <n v="3387456000"/>
    <x v="7"/>
  </r>
  <r>
    <x v="2"/>
    <x v="1"/>
    <x v="23"/>
    <n v="5900"/>
    <n v="16342"/>
    <n v="96417800"/>
    <n v="3387456000"/>
    <x v="7"/>
  </r>
  <r>
    <x v="2"/>
    <x v="1"/>
    <x v="24"/>
    <n v="3700"/>
    <n v="22698"/>
    <n v="83982600"/>
    <n v="3387456000"/>
    <x v="7"/>
  </r>
  <r>
    <x v="2"/>
    <x v="2"/>
    <x v="14"/>
    <n v="18000"/>
    <n v="41253"/>
    <n v="742554000"/>
    <n v="4246648000"/>
    <x v="8"/>
  </r>
  <r>
    <x v="2"/>
    <x v="2"/>
    <x v="15"/>
    <n v="26200"/>
    <n v="27502"/>
    <n v="720552400"/>
    <n v="4246648000"/>
    <x v="8"/>
  </r>
  <r>
    <x v="2"/>
    <x v="2"/>
    <x v="16"/>
    <n v="12500"/>
    <n v="41253"/>
    <n v="515662500"/>
    <n v="4246648000"/>
    <x v="8"/>
  </r>
  <r>
    <x v="2"/>
    <x v="2"/>
    <x v="17"/>
    <n v="9400"/>
    <n v="47151"/>
    <n v="443219400"/>
    <n v="4246648000"/>
    <x v="8"/>
  </r>
  <r>
    <x v="2"/>
    <x v="2"/>
    <x v="18"/>
    <n v="15000"/>
    <n v="24064"/>
    <n v="360960000"/>
    <n v="4246648000"/>
    <x v="8"/>
  </r>
  <r>
    <x v="2"/>
    <x v="2"/>
    <x v="19"/>
    <n v="14200"/>
    <n v="21486"/>
    <n v="305101200"/>
    <n v="4246648000"/>
    <x v="8"/>
  </r>
  <r>
    <x v="2"/>
    <x v="2"/>
    <x v="10"/>
    <n v="10300"/>
    <n v="24064"/>
    <n v="247859200"/>
    <n v="4246648000"/>
    <x v="8"/>
  </r>
  <r>
    <x v="2"/>
    <x v="2"/>
    <x v="20"/>
    <n v="8700"/>
    <n v="25783"/>
    <n v="224312100"/>
    <n v="4246648000"/>
    <x v="8"/>
  </r>
  <r>
    <x v="2"/>
    <x v="2"/>
    <x v="21"/>
    <n v="11800"/>
    <n v="18908"/>
    <n v="223114400"/>
    <n v="4246648000"/>
    <x v="8"/>
  </r>
  <r>
    <x v="2"/>
    <x v="2"/>
    <x v="22"/>
    <n v="13600"/>
    <n v="15470"/>
    <n v="210392000"/>
    <n v="4246648000"/>
    <x v="8"/>
  </r>
  <r>
    <x v="2"/>
    <x v="2"/>
    <x v="23"/>
    <n v="6300"/>
    <n v="21486"/>
    <n v="135361800"/>
    <n v="4246648000"/>
    <x v="8"/>
  </r>
  <r>
    <x v="2"/>
    <x v="2"/>
    <x v="24"/>
    <n v="3900"/>
    <n v="30080"/>
    <n v="117312000"/>
    <n v="4246648000"/>
    <x v="8"/>
  </r>
  <r>
    <x v="3"/>
    <x v="0"/>
    <x v="25"/>
    <n v="18500"/>
    <n v="45833"/>
    <n v="847910500"/>
    <n v="3863261000"/>
    <x v="9"/>
  </r>
  <r>
    <x v="3"/>
    <x v="0"/>
    <x v="26"/>
    <n v="26000"/>
    <n v="28519"/>
    <n v="741494000"/>
    <n v="3863261000"/>
    <x v="9"/>
  </r>
  <r>
    <x v="3"/>
    <x v="0"/>
    <x v="27"/>
    <n v="850000"/>
    <n v="387"/>
    <n v="328950000"/>
    <n v="3863261000"/>
    <x v="9"/>
  </r>
  <r>
    <x v="3"/>
    <x v="0"/>
    <x v="28"/>
    <n v="650000"/>
    <n v="428"/>
    <n v="278200000"/>
    <n v="3863261000"/>
    <x v="9"/>
  </r>
  <r>
    <x v="3"/>
    <x v="0"/>
    <x v="8"/>
    <n v="10200"/>
    <n v="12307"/>
    <n v="125531400"/>
    <n v="3863261000"/>
    <x v="9"/>
  </r>
  <r>
    <x v="3"/>
    <x v="0"/>
    <x v="29"/>
    <n v="32000"/>
    <n v="6620"/>
    <n v="211840000"/>
    <n v="3863261000"/>
    <x v="9"/>
  </r>
  <r>
    <x v="3"/>
    <x v="0"/>
    <x v="30"/>
    <n v="12500"/>
    <n v="16296"/>
    <n v="203700000"/>
    <n v="3863261000"/>
    <x v="9"/>
  </r>
  <r>
    <x v="3"/>
    <x v="0"/>
    <x v="31"/>
    <n v="1200000"/>
    <n v="163"/>
    <n v="195600000"/>
    <n v="3863261000"/>
    <x v="9"/>
  </r>
  <r>
    <x v="3"/>
    <x v="0"/>
    <x v="32"/>
    <n v="180000"/>
    <n v="968"/>
    <n v="174240000"/>
    <n v="3863261000"/>
    <x v="9"/>
  </r>
  <r>
    <x v="3"/>
    <x v="0"/>
    <x v="33"/>
    <n v="8500"/>
    <n v="18333"/>
    <n v="155830500"/>
    <n v="3863261000"/>
    <x v="9"/>
  </r>
  <r>
    <x v="3"/>
    <x v="0"/>
    <x v="10"/>
    <n v="7800"/>
    <n v="15278"/>
    <n v="119168400"/>
    <n v="3863261000"/>
    <x v="9"/>
  </r>
  <r>
    <x v="3"/>
    <x v="0"/>
    <x v="34"/>
    <n v="12800"/>
    <n v="8657"/>
    <n v="110809600"/>
    <n v="3863261000"/>
    <x v="9"/>
  </r>
  <r>
    <x v="3"/>
    <x v="0"/>
    <x v="21"/>
    <n v="9600"/>
    <n v="9167"/>
    <n v="88003200"/>
    <n v="3863261000"/>
    <x v="9"/>
  </r>
  <r>
    <x v="3"/>
    <x v="0"/>
    <x v="20"/>
    <n v="6900"/>
    <n v="11204"/>
    <n v="77307600"/>
    <n v="3863261000"/>
    <x v="9"/>
  </r>
  <r>
    <x v="3"/>
    <x v="0"/>
    <x v="35"/>
    <n v="85000"/>
    <n v="815"/>
    <n v="69275000"/>
    <n v="3863261000"/>
    <x v="9"/>
  </r>
  <r>
    <x v="3"/>
    <x v="0"/>
    <x v="36"/>
    <n v="120000"/>
    <n v="458"/>
    <n v="54960000"/>
    <n v="3863261000"/>
    <x v="9"/>
  </r>
  <r>
    <x v="3"/>
    <x v="0"/>
    <x v="37"/>
    <n v="95000"/>
    <n v="509"/>
    <n v="48355000"/>
    <n v="3863261000"/>
    <x v="9"/>
  </r>
  <r>
    <x v="3"/>
    <x v="0"/>
    <x v="38"/>
    <n v="450000"/>
    <n v="71"/>
    <n v="31950000"/>
    <n v="3863261000"/>
    <x v="9"/>
  </r>
  <r>
    <x v="3"/>
    <x v="1"/>
    <x v="25"/>
    <n v="19200"/>
    <n v="43287"/>
    <n v="831110400"/>
    <n v="4596643000"/>
    <x v="10"/>
  </r>
  <r>
    <x v="3"/>
    <x v="1"/>
    <x v="26"/>
    <n v="27000"/>
    <n v="6754"/>
    <n v="182358000"/>
    <n v="4596643000"/>
    <x v="10"/>
  </r>
  <r>
    <x v="3"/>
    <x v="1"/>
    <x v="27"/>
    <n v="890000"/>
    <n v="501"/>
    <n v="445890000"/>
    <n v="4596643000"/>
    <x v="10"/>
  </r>
  <r>
    <x v="3"/>
    <x v="1"/>
    <x v="28"/>
    <n v="680000"/>
    <n v="540"/>
    <n v="367200000"/>
    <n v="4596643000"/>
    <x v="10"/>
  </r>
  <r>
    <x v="3"/>
    <x v="1"/>
    <x v="8"/>
    <n v="10700"/>
    <n v="29958"/>
    <n v="320550600"/>
    <n v="4596643000"/>
    <x v="10"/>
  </r>
  <r>
    <x v="3"/>
    <x v="1"/>
    <x v="29"/>
    <n v="33500"/>
    <n v="8545"/>
    <n v="286257500"/>
    <n v="4596643000"/>
    <x v="10"/>
  </r>
  <r>
    <x v="3"/>
    <x v="1"/>
    <x v="30"/>
    <n v="13100"/>
    <n v="19582"/>
    <n v="256524200"/>
    <n v="4596643000"/>
    <x v="10"/>
  </r>
  <r>
    <x v="3"/>
    <x v="1"/>
    <x v="31"/>
    <n v="1260000"/>
    <n v="306"/>
    <n v="385560000"/>
    <n v="4596643000"/>
    <x v="10"/>
  </r>
  <r>
    <x v="3"/>
    <x v="1"/>
    <x v="32"/>
    <n v="189000"/>
    <n v="1237"/>
    <n v="233793000"/>
    <n v="4596643000"/>
    <x v="10"/>
  </r>
  <r>
    <x v="3"/>
    <x v="1"/>
    <x v="33"/>
    <n v="8900"/>
    <n v="23746"/>
    <n v="211339400"/>
    <n v="4596643000"/>
    <x v="10"/>
  </r>
  <r>
    <x v="3"/>
    <x v="1"/>
    <x v="10"/>
    <n v="8200"/>
    <n v="19582"/>
    <n v="160572400"/>
    <n v="4596643000"/>
    <x v="10"/>
  </r>
  <r>
    <x v="3"/>
    <x v="1"/>
    <x v="34"/>
    <n v="13400"/>
    <n v="22437"/>
    <n v="300655800"/>
    <n v="4596643000"/>
    <x v="10"/>
  </r>
  <r>
    <x v="3"/>
    <x v="1"/>
    <x v="21"/>
    <n v="10100"/>
    <n v="12368"/>
    <n v="124916800"/>
    <n v="4596643000"/>
    <x v="10"/>
  </r>
  <r>
    <x v="3"/>
    <x v="1"/>
    <x v="20"/>
    <n v="7250"/>
    <n v="16480"/>
    <n v="119480000"/>
    <n v="4596643000"/>
    <x v="10"/>
  </r>
  <r>
    <x v="3"/>
    <x v="1"/>
    <x v="35"/>
    <n v="89000"/>
    <n v="1134"/>
    <n v="100926000"/>
    <n v="4596643000"/>
    <x v="10"/>
  </r>
  <r>
    <x v="3"/>
    <x v="1"/>
    <x v="36"/>
    <n v="126000"/>
    <n v="1021"/>
    <n v="128646000"/>
    <n v="4596643000"/>
    <x v="10"/>
  </r>
  <r>
    <x v="3"/>
    <x v="1"/>
    <x v="37"/>
    <n v="100000"/>
    <n v="821"/>
    <n v="82100000"/>
    <n v="4596643000"/>
    <x v="10"/>
  </r>
  <r>
    <x v="3"/>
    <x v="1"/>
    <x v="38"/>
    <n v="472000"/>
    <n v="124"/>
    <n v="58528000"/>
    <n v="4596643000"/>
    <x v="10"/>
  </r>
  <r>
    <x v="3"/>
    <x v="2"/>
    <x v="25"/>
    <n v="20000"/>
    <n v="47246"/>
    <n v="944920000"/>
    <n v="5511710000"/>
    <x v="11"/>
  </r>
  <r>
    <x v="3"/>
    <x v="2"/>
    <x v="26"/>
    <n v="28200"/>
    <n v="31790"/>
    <n v="896478000"/>
    <n v="5511710000"/>
    <x v="11"/>
  </r>
  <r>
    <x v="3"/>
    <x v="2"/>
    <x v="27"/>
    <n v="930000"/>
    <n v="563"/>
    <n v="523590000"/>
    <n v="5511710000"/>
    <x v="11"/>
  </r>
  <r>
    <x v="3"/>
    <x v="2"/>
    <x v="28"/>
    <n v="710000"/>
    <n v="581"/>
    <n v="412510000"/>
    <n v="5511710000"/>
    <x v="11"/>
  </r>
  <r>
    <x v="3"/>
    <x v="2"/>
    <x v="8"/>
    <n v="11200"/>
    <n v="31800"/>
    <n v="356160000"/>
    <n v="5511710000"/>
    <x v="11"/>
  </r>
  <r>
    <x v="3"/>
    <x v="2"/>
    <x v="29"/>
    <n v="35000"/>
    <n v="9086"/>
    <n v="318010000"/>
    <n v="5511710000"/>
    <x v="11"/>
  </r>
  <r>
    <x v="3"/>
    <x v="2"/>
    <x v="30"/>
    <n v="13800"/>
    <n v="21806"/>
    <n v="300922800"/>
    <n v="5511710000"/>
    <x v="11"/>
  </r>
  <r>
    <x v="3"/>
    <x v="2"/>
    <x v="31"/>
    <n v="1320000"/>
    <n v="154"/>
    <n v="203280000"/>
    <n v="5511710000"/>
    <x v="11"/>
  </r>
  <r>
    <x v="3"/>
    <x v="2"/>
    <x v="32"/>
    <n v="198000"/>
    <n v="1364"/>
    <n v="270072000"/>
    <n v="5511710000"/>
    <x v="11"/>
  </r>
  <r>
    <x v="3"/>
    <x v="2"/>
    <x v="33"/>
    <n v="9350"/>
    <n v="25440"/>
    <n v="237864000"/>
    <n v="5511710000"/>
    <x v="11"/>
  </r>
  <r>
    <x v="3"/>
    <x v="2"/>
    <x v="10"/>
    <n v="8600"/>
    <n v="22714"/>
    <n v="195340400"/>
    <n v="5511710000"/>
    <x v="11"/>
  </r>
  <r>
    <x v="3"/>
    <x v="2"/>
    <x v="34"/>
    <n v="14100"/>
    <n v="12720"/>
    <n v="179352000"/>
    <n v="5511710000"/>
    <x v="11"/>
  </r>
  <r>
    <x v="3"/>
    <x v="2"/>
    <x v="21"/>
    <n v="10600"/>
    <n v="14537"/>
    <n v="154092200"/>
    <n v="5511710000"/>
    <x v="11"/>
  </r>
  <r>
    <x v="3"/>
    <x v="2"/>
    <x v="20"/>
    <n v="7600"/>
    <n v="19080"/>
    <n v="145008000"/>
    <n v="5511710000"/>
    <x v="11"/>
  </r>
  <r>
    <x v="3"/>
    <x v="2"/>
    <x v="35"/>
    <n v="93500"/>
    <n v="1272"/>
    <n v="118932000"/>
    <n v="5511710000"/>
    <x v="11"/>
  </r>
  <r>
    <x v="3"/>
    <x v="2"/>
    <x v="36"/>
    <n v="132000"/>
    <n v="772"/>
    <n v="101904000"/>
    <n v="5511710000"/>
    <x v="11"/>
  </r>
  <r>
    <x v="3"/>
    <x v="2"/>
    <x v="37"/>
    <n v="105000"/>
    <n v="818"/>
    <n v="85890000"/>
    <n v="5511710000"/>
    <x v="11"/>
  </r>
  <r>
    <x v="3"/>
    <x v="2"/>
    <x v="38"/>
    <n v="495000"/>
    <n v="136"/>
    <n v="67320000"/>
    <n v="5511710000"/>
    <x v="11"/>
  </r>
  <r>
    <x v="4"/>
    <x v="0"/>
    <x v="39"/>
    <n v="85000"/>
    <n v="633695"/>
    <n v="53864075000"/>
    <n v="183702186000"/>
    <x v="12"/>
  </r>
  <r>
    <x v="4"/>
    <x v="0"/>
    <x v="40"/>
    <n v="78000"/>
    <n v="439623"/>
    <n v="34290594000"/>
    <n v="183702186000"/>
    <x v="12"/>
  </r>
  <r>
    <x v="4"/>
    <x v="0"/>
    <x v="41"/>
    <n v="65000"/>
    <n v="371000"/>
    <n v="24115000000"/>
    <n v="183702186000"/>
    <x v="12"/>
  </r>
  <r>
    <x v="4"/>
    <x v="0"/>
    <x v="42"/>
    <n v="55000"/>
    <n v="214900"/>
    <n v="11819500000"/>
    <n v="183702186000"/>
    <x v="12"/>
  </r>
  <r>
    <x v="4"/>
    <x v="0"/>
    <x v="43"/>
    <n v="70000"/>
    <n v="146039"/>
    <n v="10222730000"/>
    <n v="183702186000"/>
    <x v="12"/>
  </r>
  <r>
    <x v="4"/>
    <x v="0"/>
    <x v="44"/>
    <n v="35000"/>
    <n v="273362"/>
    <n v="9567670000"/>
    <n v="183702186000"/>
    <x v="12"/>
  </r>
  <r>
    <x v="4"/>
    <x v="0"/>
    <x v="45"/>
    <n v="95000"/>
    <n v="87920"/>
    <n v="8352400000"/>
    <n v="183702186000"/>
    <x v="12"/>
  </r>
  <r>
    <x v="4"/>
    <x v="0"/>
    <x v="46"/>
    <n v="60000"/>
    <n v="127002"/>
    <n v="7620120000"/>
    <n v="183702186000"/>
    <x v="12"/>
  </r>
  <r>
    <x v="4"/>
    <x v="0"/>
    <x v="47"/>
    <n v="110000"/>
    <n v="63401"/>
    <n v="6974110000"/>
    <n v="183702186000"/>
    <x v="12"/>
  </r>
  <r>
    <x v="4"/>
    <x v="0"/>
    <x v="48"/>
    <n v="82000"/>
    <n v="78155"/>
    <n v="6408710000"/>
    <n v="183702186000"/>
    <x v="12"/>
  </r>
  <r>
    <x v="4"/>
    <x v="0"/>
    <x v="49"/>
    <n v="68000"/>
    <n v="83000"/>
    <n v="5644000000"/>
    <n v="183702186000"/>
    <x v="12"/>
  </r>
  <r>
    <x v="4"/>
    <x v="0"/>
    <x v="50"/>
    <n v="45000"/>
    <n v="107463"/>
    <n v="4835835000"/>
    <n v="183702186000"/>
    <x v="12"/>
  </r>
  <r>
    <x v="4"/>
    <x v="1"/>
    <x v="39"/>
    <n v="86000"/>
    <n v="628433"/>
    <n v="54045238000"/>
    <n v="184932603000"/>
    <x v="13"/>
  </r>
  <r>
    <x v="4"/>
    <x v="1"/>
    <x v="40"/>
    <n v="79000"/>
    <n v="433666"/>
    <n v="34259614000"/>
    <n v="184932603000"/>
    <x v="13"/>
  </r>
  <r>
    <x v="4"/>
    <x v="1"/>
    <x v="41"/>
    <n v="66000"/>
    <n v="366506"/>
    <n v="24189396000"/>
    <n v="184932603000"/>
    <x v="13"/>
  </r>
  <r>
    <x v="4"/>
    <x v="1"/>
    <x v="42"/>
    <n v="56000"/>
    <n v="209158"/>
    <n v="11712848000"/>
    <n v="184932603000"/>
    <x v="13"/>
  </r>
  <r>
    <x v="4"/>
    <x v="1"/>
    <x v="43"/>
    <n v="71000"/>
    <n v="145835"/>
    <n v="10354285000"/>
    <n v="184932603000"/>
    <x v="13"/>
  </r>
  <r>
    <x v="4"/>
    <x v="1"/>
    <x v="44"/>
    <n v="36000"/>
    <n v="270562"/>
    <n v="9740232000"/>
    <n v="184932603000"/>
    <x v="13"/>
  </r>
  <r>
    <x v="4"/>
    <x v="1"/>
    <x v="45"/>
    <n v="96000"/>
    <n v="88268"/>
    <n v="8473728000"/>
    <n v="184932603000"/>
    <x v="13"/>
  </r>
  <r>
    <x v="4"/>
    <x v="1"/>
    <x v="46"/>
    <n v="61000"/>
    <n v="126646"/>
    <n v="7725406000"/>
    <n v="184932603000"/>
    <x v="13"/>
  </r>
  <r>
    <x v="4"/>
    <x v="1"/>
    <x v="47"/>
    <n v="112000"/>
    <n v="64282"/>
    <n v="7199584000"/>
    <n v="184932603000"/>
    <x v="13"/>
  </r>
  <r>
    <x v="4"/>
    <x v="1"/>
    <x v="48"/>
    <n v="83000"/>
    <n v="78674"/>
    <n v="6529942000"/>
    <n v="184932603000"/>
    <x v="13"/>
  </r>
  <r>
    <x v="4"/>
    <x v="1"/>
    <x v="49"/>
    <n v="69000"/>
    <n v="83471"/>
    <n v="5759499000"/>
    <n v="184932603000"/>
    <x v="13"/>
  </r>
  <r>
    <x v="4"/>
    <x v="1"/>
    <x v="50"/>
    <n v="46000"/>
    <n v="107457"/>
    <n v="4943022000"/>
    <n v="184932603000"/>
    <x v="13"/>
  </r>
  <r>
    <x v="4"/>
    <x v="2"/>
    <x v="39"/>
    <n v="87000"/>
    <n v="686333"/>
    <n v="59710971000"/>
    <n v="207084881000"/>
    <x v="14"/>
  </r>
  <r>
    <x v="4"/>
    <x v="2"/>
    <x v="40"/>
    <n v="81000"/>
    <n v="476620"/>
    <n v="38606220000"/>
    <n v="207084881000"/>
    <x v="14"/>
  </r>
  <r>
    <x v="4"/>
    <x v="2"/>
    <x v="41"/>
    <n v="67500"/>
    <n v="400391"/>
    <n v="27026392500"/>
    <n v="207084881000"/>
    <x v="14"/>
  </r>
  <r>
    <x v="4"/>
    <x v="2"/>
    <x v="42"/>
    <n v="58000"/>
    <n v="228778"/>
    <n v="13269124000"/>
    <n v="207084881000"/>
    <x v="14"/>
  </r>
  <r>
    <x v="4"/>
    <x v="2"/>
    <x v="43"/>
    <n v="72500"/>
    <n v="162081"/>
    <n v="11750872500"/>
    <n v="207084881000"/>
    <x v="14"/>
  </r>
  <r>
    <x v="4"/>
    <x v="2"/>
    <x v="44"/>
    <n v="38000"/>
    <n v="295504"/>
    <n v="11229152000"/>
    <n v="207084881000"/>
    <x v="14"/>
  </r>
  <r>
    <x v="4"/>
    <x v="2"/>
    <x v="45"/>
    <n v="98000"/>
    <n v="95320"/>
    <n v="9341360000"/>
    <n v="207084881000"/>
    <x v="14"/>
  </r>
  <r>
    <x v="4"/>
    <x v="2"/>
    <x v="46"/>
    <n v="63000"/>
    <n v="138220"/>
    <n v="8707860000"/>
    <n v="207084881000"/>
    <x v="14"/>
  </r>
  <r>
    <x v="4"/>
    <x v="2"/>
    <x v="47"/>
    <n v="115000"/>
    <n v="71499"/>
    <n v="8222385000"/>
    <n v="207084881000"/>
    <x v="14"/>
  </r>
  <r>
    <x v="4"/>
    <x v="2"/>
    <x v="48"/>
    <n v="85000"/>
    <n v="85800"/>
    <n v="7293000000"/>
    <n v="207084881000"/>
    <x v="14"/>
  </r>
  <r>
    <x v="4"/>
    <x v="2"/>
    <x v="49"/>
    <n v="71000"/>
    <n v="90658"/>
    <n v="6436718000"/>
    <n v="207084881000"/>
    <x v="14"/>
  </r>
  <r>
    <x v="4"/>
    <x v="2"/>
    <x v="50"/>
    <n v="48000"/>
    <n v="114389"/>
    <n v="5490672000"/>
    <n v="207084881000"/>
    <x v="14"/>
  </r>
  <r>
    <x v="5"/>
    <x v="0"/>
    <x v="51"/>
    <n v="29000"/>
    <n v="9723"/>
    <n v="281967000"/>
    <n v="4229891000"/>
    <x v="15"/>
  </r>
  <r>
    <x v="5"/>
    <x v="0"/>
    <x v="52"/>
    <n v="31000"/>
    <n v="9096"/>
    <n v="281976000"/>
    <n v="4229891000"/>
    <x v="15"/>
  </r>
  <r>
    <x v="5"/>
    <x v="0"/>
    <x v="53"/>
    <n v="31000"/>
    <n v="9096"/>
    <n v="281976000"/>
    <n v="4229891000"/>
    <x v="15"/>
  </r>
  <r>
    <x v="5"/>
    <x v="0"/>
    <x v="54"/>
    <n v="32000"/>
    <n v="8812"/>
    <n v="281984000"/>
    <n v="4229891000"/>
    <x v="15"/>
  </r>
  <r>
    <x v="5"/>
    <x v="0"/>
    <x v="55"/>
    <n v="32000"/>
    <n v="8812"/>
    <n v="281984000"/>
    <n v="4229891000"/>
    <x v="15"/>
  </r>
  <r>
    <x v="5"/>
    <x v="0"/>
    <x v="56"/>
    <n v="29000"/>
    <n v="9723"/>
    <n v="281967000"/>
    <n v="4229891000"/>
    <x v="15"/>
  </r>
  <r>
    <x v="5"/>
    <x v="0"/>
    <x v="57"/>
    <n v="29000"/>
    <n v="9723"/>
    <n v="281967000"/>
    <n v="4229891000"/>
    <x v="15"/>
  </r>
  <r>
    <x v="5"/>
    <x v="0"/>
    <x v="58"/>
    <n v="32000"/>
    <n v="8812"/>
    <n v="281984000"/>
    <n v="4229891000"/>
    <x v="15"/>
  </r>
  <r>
    <x v="5"/>
    <x v="0"/>
    <x v="59"/>
    <n v="33000"/>
    <n v="8545"/>
    <n v="281985000"/>
    <n v="4229891000"/>
    <x v="15"/>
  </r>
  <r>
    <x v="5"/>
    <x v="0"/>
    <x v="60"/>
    <n v="35000"/>
    <n v="8056"/>
    <n v="281960000"/>
    <n v="4229891000"/>
    <x v="15"/>
  </r>
  <r>
    <x v="5"/>
    <x v="0"/>
    <x v="61"/>
    <n v="35000"/>
    <n v="8056"/>
    <n v="281960000"/>
    <n v="4229891000"/>
    <x v="15"/>
  </r>
  <r>
    <x v="5"/>
    <x v="0"/>
    <x v="62"/>
    <n v="35000"/>
    <n v="8056"/>
    <n v="281960000"/>
    <n v="4229891000"/>
    <x v="15"/>
  </r>
  <r>
    <x v="5"/>
    <x v="0"/>
    <x v="63"/>
    <n v="26000"/>
    <n v="10845"/>
    <n v="281970000"/>
    <n v="4229891000"/>
    <x v="15"/>
  </r>
  <r>
    <x v="5"/>
    <x v="0"/>
    <x v="64"/>
    <n v="36000"/>
    <n v="7833"/>
    <n v="281988000"/>
    <n v="4229891000"/>
    <x v="15"/>
  </r>
  <r>
    <x v="5"/>
    <x v="0"/>
    <x v="65"/>
    <n v="32000"/>
    <n v="8812"/>
    <n v="281984000"/>
    <n v="4229891000"/>
    <x v="15"/>
  </r>
  <r>
    <x v="5"/>
    <x v="1"/>
    <x v="51"/>
    <n v="29000"/>
    <n v="6479"/>
    <n v="187891000"/>
    <n v="2818701000"/>
    <x v="16"/>
  </r>
  <r>
    <x v="5"/>
    <x v="1"/>
    <x v="52"/>
    <n v="31000"/>
    <n v="6061"/>
    <n v="187891000"/>
    <n v="2818701000"/>
    <x v="16"/>
  </r>
  <r>
    <x v="5"/>
    <x v="1"/>
    <x v="53"/>
    <n v="31000"/>
    <n v="6061"/>
    <n v="187891000"/>
    <n v="2818701000"/>
    <x v="16"/>
  </r>
  <r>
    <x v="5"/>
    <x v="1"/>
    <x v="54"/>
    <n v="32000"/>
    <n v="5872"/>
    <n v="187904000"/>
    <n v="2818701000"/>
    <x v="16"/>
  </r>
  <r>
    <x v="5"/>
    <x v="1"/>
    <x v="55"/>
    <n v="32000"/>
    <n v="5872"/>
    <n v="187904000"/>
    <n v="2818701000"/>
    <x v="16"/>
  </r>
  <r>
    <x v="5"/>
    <x v="1"/>
    <x v="56"/>
    <n v="29000"/>
    <n v="6479"/>
    <n v="187891000"/>
    <n v="2818701000"/>
    <x v="16"/>
  </r>
  <r>
    <x v="5"/>
    <x v="1"/>
    <x v="57"/>
    <n v="29000"/>
    <n v="6479"/>
    <n v="187891000"/>
    <n v="2818701000"/>
    <x v="16"/>
  </r>
  <r>
    <x v="5"/>
    <x v="1"/>
    <x v="58"/>
    <n v="32000"/>
    <n v="5872"/>
    <n v="187904000"/>
    <n v="2818701000"/>
    <x v="16"/>
  </r>
  <r>
    <x v="5"/>
    <x v="1"/>
    <x v="59"/>
    <n v="33000"/>
    <n v="5694"/>
    <n v="187902000"/>
    <n v="2818701000"/>
    <x v="16"/>
  </r>
  <r>
    <x v="5"/>
    <x v="1"/>
    <x v="60"/>
    <n v="35000"/>
    <n v="5368"/>
    <n v="187880000"/>
    <n v="2818701000"/>
    <x v="16"/>
  </r>
  <r>
    <x v="5"/>
    <x v="1"/>
    <x v="61"/>
    <n v="35000"/>
    <n v="5368"/>
    <n v="187880000"/>
    <n v="2818701000"/>
    <x v="16"/>
  </r>
  <r>
    <x v="5"/>
    <x v="1"/>
    <x v="62"/>
    <n v="35000"/>
    <n v="5368"/>
    <n v="187880000"/>
    <n v="2818701000"/>
    <x v="16"/>
  </r>
  <r>
    <x v="5"/>
    <x v="1"/>
    <x v="63"/>
    <n v="26000"/>
    <n v="7227"/>
    <n v="187902000"/>
    <n v="2818701000"/>
    <x v="16"/>
  </r>
  <r>
    <x v="5"/>
    <x v="1"/>
    <x v="64"/>
    <n v="36000"/>
    <n v="5219"/>
    <n v="187884000"/>
    <n v="2818701000"/>
    <x v="16"/>
  </r>
  <r>
    <x v="5"/>
    <x v="1"/>
    <x v="65"/>
    <n v="32000"/>
    <n v="5872"/>
    <n v="187904000"/>
    <n v="2818701000"/>
    <x v="16"/>
  </r>
  <r>
    <x v="5"/>
    <x v="2"/>
    <x v="51"/>
    <n v="29000"/>
    <n v="4829"/>
    <n v="140041000"/>
    <n v="2100768000"/>
    <x v="17"/>
  </r>
  <r>
    <x v="5"/>
    <x v="2"/>
    <x v="52"/>
    <n v="31000"/>
    <n v="4517"/>
    <n v="140027000"/>
    <n v="2100768000"/>
    <x v="17"/>
  </r>
  <r>
    <x v="5"/>
    <x v="2"/>
    <x v="53"/>
    <n v="31000"/>
    <n v="4517"/>
    <n v="140027000"/>
    <n v="2100768000"/>
    <x v="17"/>
  </r>
  <r>
    <x v="5"/>
    <x v="2"/>
    <x v="54"/>
    <n v="32000"/>
    <n v="4376"/>
    <n v="140032000"/>
    <n v="2100768000"/>
    <x v="17"/>
  </r>
  <r>
    <x v="5"/>
    <x v="2"/>
    <x v="55"/>
    <n v="32000"/>
    <n v="4376"/>
    <n v="140032000"/>
    <n v="2100768000"/>
    <x v="17"/>
  </r>
  <r>
    <x v="5"/>
    <x v="2"/>
    <x v="56"/>
    <n v="29000"/>
    <n v="4829"/>
    <n v="140041000"/>
    <n v="2100768000"/>
    <x v="17"/>
  </r>
  <r>
    <x v="5"/>
    <x v="2"/>
    <x v="57"/>
    <n v="29000"/>
    <n v="4829"/>
    <n v="140041000"/>
    <n v="2100768000"/>
    <x v="17"/>
  </r>
  <r>
    <x v="5"/>
    <x v="2"/>
    <x v="58"/>
    <n v="32000"/>
    <n v="4376"/>
    <n v="140032000"/>
    <n v="2100768000"/>
    <x v="17"/>
  </r>
  <r>
    <x v="5"/>
    <x v="2"/>
    <x v="59"/>
    <n v="33000"/>
    <n v="4243"/>
    <n v="140019000"/>
    <n v="2100768000"/>
    <x v="17"/>
  </r>
  <r>
    <x v="5"/>
    <x v="2"/>
    <x v="60"/>
    <n v="35000"/>
    <n v="4001"/>
    <n v="140035000"/>
    <n v="2100768000"/>
    <x v="17"/>
  </r>
  <r>
    <x v="5"/>
    <x v="2"/>
    <x v="61"/>
    <n v="35000"/>
    <n v="4001"/>
    <n v="140035000"/>
    <n v="2100768000"/>
    <x v="17"/>
  </r>
  <r>
    <x v="5"/>
    <x v="2"/>
    <x v="62"/>
    <n v="35000"/>
    <n v="4001"/>
    <n v="140035000"/>
    <n v="2100768000"/>
    <x v="17"/>
  </r>
  <r>
    <x v="5"/>
    <x v="2"/>
    <x v="63"/>
    <n v="26000"/>
    <n v="5386"/>
    <n v="140036000"/>
    <n v="2100768000"/>
    <x v="17"/>
  </r>
  <r>
    <x v="5"/>
    <x v="2"/>
    <x v="64"/>
    <n v="36000"/>
    <n v="3890"/>
    <n v="140040000"/>
    <n v="2100768000"/>
    <x v="17"/>
  </r>
  <r>
    <x v="5"/>
    <x v="2"/>
    <x v="65"/>
    <n v="32000"/>
    <n v="4376"/>
    <n v="140032000"/>
    <n v="2100768000"/>
    <x v="17"/>
  </r>
  <r>
    <x v="6"/>
    <x v="0"/>
    <x v="66"/>
    <n v="8250"/>
    <n v="2249"/>
    <n v="18554250"/>
    <n v="371125000"/>
    <x v="18"/>
  </r>
  <r>
    <x v="6"/>
    <x v="0"/>
    <x v="67"/>
    <n v="1800"/>
    <n v="10309"/>
    <n v="18556200"/>
    <n v="371125000"/>
    <x v="18"/>
  </r>
  <r>
    <x v="6"/>
    <x v="0"/>
    <x v="68"/>
    <n v="9100"/>
    <n v="2039"/>
    <n v="18554900"/>
    <n v="371125000"/>
    <x v="18"/>
  </r>
  <r>
    <x v="6"/>
    <x v="0"/>
    <x v="67"/>
    <n v="1800"/>
    <n v="10309"/>
    <n v="18556200"/>
    <n v="371125000"/>
    <x v="18"/>
  </r>
  <r>
    <x v="6"/>
    <x v="0"/>
    <x v="69"/>
    <n v="11300"/>
    <n v="1642"/>
    <n v="18554600"/>
    <n v="371125000"/>
    <x v="18"/>
  </r>
  <r>
    <x v="6"/>
    <x v="0"/>
    <x v="67"/>
    <n v="1800"/>
    <n v="10309"/>
    <n v="18556200"/>
    <n v="371125000"/>
    <x v="18"/>
  </r>
  <r>
    <x v="6"/>
    <x v="0"/>
    <x v="70"/>
    <n v="17100"/>
    <n v="1085"/>
    <n v="18553500"/>
    <n v="371125000"/>
    <x v="18"/>
  </r>
  <r>
    <x v="6"/>
    <x v="0"/>
    <x v="67"/>
    <n v="2800"/>
    <n v="6627"/>
    <n v="18555600"/>
    <n v="371125000"/>
    <x v="18"/>
  </r>
  <r>
    <x v="6"/>
    <x v="0"/>
    <x v="71"/>
    <n v="24000"/>
    <n v="773"/>
    <n v="18552000"/>
    <n v="371125000"/>
    <x v="18"/>
  </r>
  <r>
    <x v="6"/>
    <x v="0"/>
    <x v="67"/>
    <n v="2800"/>
    <n v="6627"/>
    <n v="18555600"/>
    <n v="371125000"/>
    <x v="18"/>
  </r>
  <r>
    <x v="6"/>
    <x v="0"/>
    <x v="72"/>
    <n v="13670"/>
    <n v="1357"/>
    <n v="18550190"/>
    <n v="371125000"/>
    <x v="18"/>
  </r>
  <r>
    <x v="6"/>
    <x v="0"/>
    <x v="67"/>
    <n v="2800"/>
    <n v="6627"/>
    <n v="18555600"/>
    <n v="371125000"/>
    <x v="18"/>
  </r>
  <r>
    <x v="6"/>
    <x v="0"/>
    <x v="73"/>
    <n v="20800"/>
    <n v="892"/>
    <n v="18553600"/>
    <n v="371125000"/>
    <x v="18"/>
  </r>
  <r>
    <x v="6"/>
    <x v="0"/>
    <x v="67"/>
    <n v="2800"/>
    <n v="6627"/>
    <n v="18555600"/>
    <n v="371125000"/>
    <x v="18"/>
  </r>
  <r>
    <x v="6"/>
    <x v="0"/>
    <x v="74"/>
    <n v="8100"/>
    <n v="2290"/>
    <n v="18549000"/>
    <n v="371125000"/>
    <x v="18"/>
  </r>
  <r>
    <x v="6"/>
    <x v="0"/>
    <x v="67"/>
    <n v="1800"/>
    <n v="10309"/>
    <n v="18556200"/>
    <n v="371125000"/>
    <x v="18"/>
  </r>
  <r>
    <x v="6"/>
    <x v="0"/>
    <x v="75"/>
    <n v="250"/>
    <n v="74225"/>
    <n v="18556250"/>
    <n v="371125000"/>
    <x v="18"/>
  </r>
  <r>
    <x v="6"/>
    <x v="0"/>
    <x v="76"/>
    <n v="72000"/>
    <n v="257"/>
    <n v="18504000"/>
    <n v="371125000"/>
    <x v="18"/>
  </r>
  <r>
    <x v="6"/>
    <x v="0"/>
    <x v="77"/>
    <n v="83000"/>
    <n v="223"/>
    <n v="18509000"/>
    <n v="371125000"/>
    <x v="18"/>
  </r>
  <r>
    <x v="6"/>
    <x v="0"/>
    <x v="78"/>
    <n v="105000"/>
    <n v="177"/>
    <n v="18585000"/>
    <n v="371125000"/>
    <x v="18"/>
  </r>
  <r>
    <x v="6"/>
    <x v="1"/>
    <x v="66"/>
    <n v="8250"/>
    <n v="6312"/>
    <n v="52074000"/>
    <n v="1041499000"/>
    <x v="19"/>
  </r>
  <r>
    <x v="6"/>
    <x v="1"/>
    <x v="67"/>
    <n v="1800"/>
    <n v="28930"/>
    <n v="52074000"/>
    <n v="1041499000"/>
    <x v="19"/>
  </r>
  <r>
    <x v="6"/>
    <x v="1"/>
    <x v="68"/>
    <n v="9100"/>
    <n v="5722"/>
    <n v="52070200"/>
    <n v="1041499000"/>
    <x v="19"/>
  </r>
  <r>
    <x v="6"/>
    <x v="1"/>
    <x v="67"/>
    <n v="1800"/>
    <n v="28930"/>
    <n v="52074000"/>
    <n v="1041499000"/>
    <x v="19"/>
  </r>
  <r>
    <x v="6"/>
    <x v="1"/>
    <x v="69"/>
    <n v="11300"/>
    <n v="4608"/>
    <n v="52070400"/>
    <n v="1041499000"/>
    <x v="19"/>
  </r>
  <r>
    <x v="6"/>
    <x v="1"/>
    <x v="67"/>
    <n v="1800"/>
    <n v="28930"/>
    <n v="52074000"/>
    <n v="1041499000"/>
    <x v="19"/>
  </r>
  <r>
    <x v="6"/>
    <x v="1"/>
    <x v="70"/>
    <n v="17100"/>
    <n v="3045"/>
    <n v="52069500"/>
    <n v="1041499000"/>
    <x v="19"/>
  </r>
  <r>
    <x v="6"/>
    <x v="1"/>
    <x v="67"/>
    <n v="2800"/>
    <n v="18598"/>
    <n v="52074400"/>
    <n v="1041499000"/>
    <x v="19"/>
  </r>
  <r>
    <x v="6"/>
    <x v="1"/>
    <x v="71"/>
    <n v="24000"/>
    <n v="2169"/>
    <n v="52056000"/>
    <n v="1041499000"/>
    <x v="19"/>
  </r>
  <r>
    <x v="6"/>
    <x v="1"/>
    <x v="67"/>
    <n v="2800"/>
    <n v="18598"/>
    <n v="52074400"/>
    <n v="1041499000"/>
    <x v="19"/>
  </r>
  <r>
    <x v="6"/>
    <x v="1"/>
    <x v="72"/>
    <n v="13670"/>
    <n v="3809"/>
    <n v="52069030"/>
    <n v="1041499000"/>
    <x v="19"/>
  </r>
  <r>
    <x v="6"/>
    <x v="1"/>
    <x v="67"/>
    <n v="2800"/>
    <n v="18598"/>
    <n v="52074400"/>
    <n v="1041499000"/>
    <x v="19"/>
  </r>
  <r>
    <x v="6"/>
    <x v="1"/>
    <x v="73"/>
    <n v="20800"/>
    <n v="2503"/>
    <n v="52062400"/>
    <n v="1041499000"/>
    <x v="19"/>
  </r>
  <r>
    <x v="6"/>
    <x v="1"/>
    <x v="67"/>
    <n v="2800"/>
    <n v="18598"/>
    <n v="52074400"/>
    <n v="1041499000"/>
    <x v="19"/>
  </r>
  <r>
    <x v="6"/>
    <x v="1"/>
    <x v="74"/>
    <n v="8100"/>
    <n v="6429"/>
    <n v="52074900"/>
    <n v="1041499000"/>
    <x v="19"/>
  </r>
  <r>
    <x v="6"/>
    <x v="1"/>
    <x v="67"/>
    <n v="1800"/>
    <n v="28930"/>
    <n v="52074000"/>
    <n v="1041499000"/>
    <x v="19"/>
  </r>
  <r>
    <x v="6"/>
    <x v="1"/>
    <x v="75"/>
    <n v="250"/>
    <n v="208299"/>
    <n v="52074750"/>
    <n v="1041499000"/>
    <x v="19"/>
  </r>
  <r>
    <x v="6"/>
    <x v="1"/>
    <x v="76"/>
    <n v="72000"/>
    <n v="723"/>
    <n v="52056000"/>
    <n v="1041499000"/>
    <x v="19"/>
  </r>
  <r>
    <x v="6"/>
    <x v="1"/>
    <x v="77"/>
    <n v="83000"/>
    <n v="627"/>
    <n v="52041000"/>
    <n v="1041499000"/>
    <x v="19"/>
  </r>
  <r>
    <x v="6"/>
    <x v="1"/>
    <x v="78"/>
    <n v="105000"/>
    <n v="497"/>
    <n v="52185000"/>
    <n v="1041499000"/>
    <x v="19"/>
  </r>
  <r>
    <x v="6"/>
    <x v="2"/>
    <x v="66"/>
    <n v="8250"/>
    <n v="4537"/>
    <n v="37430250"/>
    <n v="748638000"/>
    <x v="20"/>
  </r>
  <r>
    <x v="6"/>
    <x v="2"/>
    <x v="67"/>
    <n v="1800"/>
    <n v="20795"/>
    <n v="37431000"/>
    <n v="748638000"/>
    <x v="20"/>
  </r>
  <r>
    <x v="6"/>
    <x v="2"/>
    <x v="68"/>
    <n v="9100"/>
    <n v="4113"/>
    <n v="37428300"/>
    <n v="748638000"/>
    <x v="20"/>
  </r>
  <r>
    <x v="6"/>
    <x v="2"/>
    <x v="67"/>
    <n v="1800"/>
    <n v="20795"/>
    <n v="37431000"/>
    <n v="748638000"/>
    <x v="20"/>
  </r>
  <r>
    <x v="6"/>
    <x v="2"/>
    <x v="69"/>
    <n v="11300"/>
    <n v="3312"/>
    <n v="37425600"/>
    <n v="748638000"/>
    <x v="20"/>
  </r>
  <r>
    <x v="6"/>
    <x v="2"/>
    <x v="67"/>
    <n v="1800"/>
    <n v="20795"/>
    <n v="37431000"/>
    <n v="748638000"/>
    <x v="20"/>
  </r>
  <r>
    <x v="6"/>
    <x v="2"/>
    <x v="70"/>
    <n v="17100"/>
    <n v="2189"/>
    <n v="37431900"/>
    <n v="748638000"/>
    <x v="20"/>
  </r>
  <r>
    <x v="6"/>
    <x v="2"/>
    <x v="67"/>
    <n v="2800"/>
    <n v="13368"/>
    <n v="37430400"/>
    <n v="748638000"/>
    <x v="20"/>
  </r>
  <r>
    <x v="6"/>
    <x v="2"/>
    <x v="71"/>
    <n v="24000"/>
    <n v="1559"/>
    <n v="37416000"/>
    <n v="748638000"/>
    <x v="20"/>
  </r>
  <r>
    <x v="6"/>
    <x v="2"/>
    <x v="67"/>
    <n v="2800"/>
    <n v="13368"/>
    <n v="37430400"/>
    <n v="748638000"/>
    <x v="20"/>
  </r>
  <r>
    <x v="6"/>
    <x v="2"/>
    <x v="72"/>
    <n v="13670"/>
    <n v="2738"/>
    <n v="37428460"/>
    <n v="748638000"/>
    <x v="20"/>
  </r>
  <r>
    <x v="6"/>
    <x v="2"/>
    <x v="67"/>
    <n v="2800"/>
    <n v="13368"/>
    <n v="37430400"/>
    <n v="748638000"/>
    <x v="20"/>
  </r>
  <r>
    <x v="6"/>
    <x v="2"/>
    <x v="73"/>
    <n v="20800"/>
    <n v="1799"/>
    <n v="37419200"/>
    <n v="748638000"/>
    <x v="20"/>
  </r>
  <r>
    <x v="6"/>
    <x v="2"/>
    <x v="67"/>
    <n v="2800"/>
    <n v="13368"/>
    <n v="37430400"/>
    <n v="748638000"/>
    <x v="20"/>
  </r>
  <r>
    <x v="6"/>
    <x v="2"/>
    <x v="74"/>
    <n v="8100"/>
    <n v="4621"/>
    <n v="37430100"/>
    <n v="748638000"/>
    <x v="20"/>
  </r>
  <r>
    <x v="6"/>
    <x v="2"/>
    <x v="67"/>
    <n v="1800"/>
    <n v="20795"/>
    <n v="37431000"/>
    <n v="748638000"/>
    <x v="20"/>
  </r>
  <r>
    <x v="6"/>
    <x v="2"/>
    <x v="75"/>
    <n v="250"/>
    <n v="149727"/>
    <n v="37431750"/>
    <n v="748638000"/>
    <x v="20"/>
  </r>
  <r>
    <x v="6"/>
    <x v="2"/>
    <x v="76"/>
    <n v="72000"/>
    <n v="519"/>
    <n v="37368000"/>
    <n v="748638000"/>
    <x v="20"/>
  </r>
  <r>
    <x v="6"/>
    <x v="2"/>
    <x v="77"/>
    <n v="83000"/>
    <n v="450"/>
    <n v="37350000"/>
    <n v="748638000"/>
    <x v="20"/>
  </r>
  <r>
    <x v="6"/>
    <x v="2"/>
    <x v="78"/>
    <n v="105000"/>
    <n v="358"/>
    <n v="37590000"/>
    <n v="748638000"/>
    <x v="20"/>
  </r>
  <r>
    <x v="7"/>
    <x v="0"/>
    <x v="79"/>
    <n v="950"/>
    <n v="55325"/>
    <n v="52558750"/>
    <n v="893513000"/>
    <x v="21"/>
  </r>
  <r>
    <x v="7"/>
    <x v="0"/>
    <x v="80"/>
    <n v="1100"/>
    <n v="47781"/>
    <n v="52559100"/>
    <n v="893513000"/>
    <x v="21"/>
  </r>
  <r>
    <x v="7"/>
    <x v="0"/>
    <x v="81"/>
    <n v="1250"/>
    <n v="42047"/>
    <n v="52558750"/>
    <n v="893513000"/>
    <x v="21"/>
  </r>
  <r>
    <x v="7"/>
    <x v="0"/>
    <x v="82"/>
    <n v="1300"/>
    <n v="40430"/>
    <n v="52559000"/>
    <n v="893513000"/>
    <x v="21"/>
  </r>
  <r>
    <x v="7"/>
    <x v="0"/>
    <x v="83"/>
    <n v="1350"/>
    <n v="38933"/>
    <n v="52559550"/>
    <n v="893513000"/>
    <x v="21"/>
  </r>
  <r>
    <x v="7"/>
    <x v="0"/>
    <x v="84"/>
    <n v="1450"/>
    <n v="36247"/>
    <n v="52558150"/>
    <n v="893513000"/>
    <x v="21"/>
  </r>
  <r>
    <x v="7"/>
    <x v="0"/>
    <x v="85"/>
    <n v="2000"/>
    <n v="26279"/>
    <n v="52558000"/>
    <n v="893513000"/>
    <x v="21"/>
  </r>
  <r>
    <x v="7"/>
    <x v="0"/>
    <x v="86"/>
    <n v="2200"/>
    <n v="23890"/>
    <n v="52558000"/>
    <n v="893513000"/>
    <x v="21"/>
  </r>
  <r>
    <x v="7"/>
    <x v="0"/>
    <x v="87"/>
    <n v="2300"/>
    <n v="22851"/>
    <n v="52557300"/>
    <n v="893513000"/>
    <x v="21"/>
  </r>
  <r>
    <x v="7"/>
    <x v="0"/>
    <x v="88"/>
    <n v="1800"/>
    <n v="29199"/>
    <n v="52558200"/>
    <n v="893513000"/>
    <x v="21"/>
  </r>
  <r>
    <x v="7"/>
    <x v="0"/>
    <x v="89"/>
    <n v="1700"/>
    <n v="30917"/>
    <n v="52558900"/>
    <n v="893513000"/>
    <x v="21"/>
  </r>
  <r>
    <x v="7"/>
    <x v="0"/>
    <x v="90"/>
    <n v="1900"/>
    <n v="27662"/>
    <n v="52557800"/>
    <n v="893513000"/>
    <x v="21"/>
  </r>
  <r>
    <x v="7"/>
    <x v="0"/>
    <x v="91"/>
    <n v="4000"/>
    <n v="13139"/>
    <n v="52556000"/>
    <n v="893513000"/>
    <x v="21"/>
  </r>
  <r>
    <x v="7"/>
    <x v="0"/>
    <x v="92"/>
    <n v="650"/>
    <n v="80860"/>
    <n v="52559000"/>
    <n v="893513000"/>
    <x v="21"/>
  </r>
  <r>
    <x v="7"/>
    <x v="0"/>
    <x v="93"/>
    <n v="1800"/>
    <n v="29199"/>
    <n v="52558200"/>
    <n v="893513000"/>
    <x v="21"/>
  </r>
  <r>
    <x v="7"/>
    <x v="0"/>
    <x v="94"/>
    <n v="2800"/>
    <n v="18771"/>
    <n v="52558800"/>
    <n v="893513000"/>
    <x v="21"/>
  </r>
  <r>
    <x v="7"/>
    <x v="0"/>
    <x v="95"/>
    <n v="4100"/>
    <n v="12824"/>
    <n v="52578400"/>
    <n v="893513000"/>
    <x v="21"/>
  </r>
  <r>
    <x v="7"/>
    <x v="1"/>
    <x v="79"/>
    <n v="950"/>
    <n v="59339"/>
    <n v="56372050"/>
    <n v="958340000"/>
    <x v="22"/>
  </r>
  <r>
    <x v="7"/>
    <x v="1"/>
    <x v="80"/>
    <n v="1100"/>
    <n v="51248"/>
    <n v="56372800"/>
    <n v="958340000"/>
    <x v="22"/>
  </r>
  <r>
    <x v="7"/>
    <x v="1"/>
    <x v="81"/>
    <n v="1250"/>
    <n v="45098"/>
    <n v="56372500"/>
    <n v="958340000"/>
    <x v="22"/>
  </r>
  <r>
    <x v="7"/>
    <x v="1"/>
    <x v="82"/>
    <n v="1300"/>
    <n v="43363"/>
    <n v="56371900"/>
    <n v="958340000"/>
    <x v="22"/>
  </r>
  <r>
    <x v="7"/>
    <x v="1"/>
    <x v="83"/>
    <n v="1350"/>
    <n v="41757"/>
    <n v="56371950"/>
    <n v="958340000"/>
    <x v="22"/>
  </r>
  <r>
    <x v="7"/>
    <x v="1"/>
    <x v="84"/>
    <n v="1450"/>
    <n v="38877"/>
    <n v="56371650"/>
    <n v="958340000"/>
    <x v="22"/>
  </r>
  <r>
    <x v="7"/>
    <x v="1"/>
    <x v="85"/>
    <n v="2000"/>
    <n v="28186"/>
    <n v="56372000"/>
    <n v="958340000"/>
    <x v="22"/>
  </r>
  <r>
    <x v="7"/>
    <x v="1"/>
    <x v="86"/>
    <n v="2200"/>
    <n v="25624"/>
    <n v="56372800"/>
    <n v="958340000"/>
    <x v="22"/>
  </r>
  <r>
    <x v="7"/>
    <x v="1"/>
    <x v="87"/>
    <n v="2300"/>
    <n v="24509"/>
    <n v="56370700"/>
    <n v="958340000"/>
    <x v="22"/>
  </r>
  <r>
    <x v="7"/>
    <x v="1"/>
    <x v="88"/>
    <n v="1800"/>
    <n v="31318"/>
    <n v="56372400"/>
    <n v="958340000"/>
    <x v="22"/>
  </r>
  <r>
    <x v="7"/>
    <x v="1"/>
    <x v="89"/>
    <n v="1700"/>
    <n v="33160"/>
    <n v="56372000"/>
    <n v="958340000"/>
    <x v="22"/>
  </r>
  <r>
    <x v="7"/>
    <x v="1"/>
    <x v="90"/>
    <n v="1900"/>
    <n v="29669"/>
    <n v="56371100"/>
    <n v="958340000"/>
    <x v="22"/>
  </r>
  <r>
    <x v="7"/>
    <x v="1"/>
    <x v="91"/>
    <n v="4000"/>
    <n v="14093"/>
    <n v="56372000"/>
    <n v="958340000"/>
    <x v="22"/>
  </r>
  <r>
    <x v="7"/>
    <x v="1"/>
    <x v="92"/>
    <n v="650"/>
    <n v="86727"/>
    <n v="56372550"/>
    <n v="958340000"/>
    <x v="22"/>
  </r>
  <r>
    <x v="7"/>
    <x v="1"/>
    <x v="93"/>
    <n v="1800"/>
    <n v="31318"/>
    <n v="56372400"/>
    <n v="958340000"/>
    <x v="22"/>
  </r>
  <r>
    <x v="7"/>
    <x v="1"/>
    <x v="94"/>
    <n v="2800"/>
    <n v="20133"/>
    <n v="56372400"/>
    <n v="958340000"/>
    <x v="22"/>
  </r>
  <r>
    <x v="7"/>
    <x v="1"/>
    <x v="95"/>
    <n v="4100"/>
    <n v="13753"/>
    <n v="56387300"/>
    <n v="958340000"/>
    <x v="22"/>
  </r>
  <r>
    <x v="7"/>
    <x v="2"/>
    <x v="79"/>
    <n v="950"/>
    <n v="226598"/>
    <n v="215268100"/>
    <n v="3659559000"/>
    <x v="23"/>
  </r>
  <r>
    <x v="7"/>
    <x v="2"/>
    <x v="80"/>
    <n v="1100"/>
    <n v="195698"/>
    <n v="215267800"/>
    <n v="3659559000"/>
    <x v="23"/>
  </r>
  <r>
    <x v="7"/>
    <x v="2"/>
    <x v="81"/>
    <n v="1250"/>
    <n v="172214"/>
    <n v="215267500"/>
    <n v="3659559000"/>
    <x v="23"/>
  </r>
  <r>
    <x v="7"/>
    <x v="2"/>
    <x v="82"/>
    <n v="1300"/>
    <n v="165590"/>
    <n v="215267000"/>
    <n v="3659559000"/>
    <x v="23"/>
  </r>
  <r>
    <x v="7"/>
    <x v="2"/>
    <x v="83"/>
    <n v="1350"/>
    <n v="159457"/>
    <n v="215266950"/>
    <n v="3659559000"/>
    <x v="23"/>
  </r>
  <r>
    <x v="7"/>
    <x v="2"/>
    <x v="84"/>
    <n v="1450"/>
    <n v="148460"/>
    <n v="215267000"/>
    <n v="3659559000"/>
    <x v="23"/>
  </r>
  <r>
    <x v="7"/>
    <x v="2"/>
    <x v="85"/>
    <n v="2000"/>
    <n v="107634"/>
    <n v="215268000"/>
    <n v="3659559000"/>
    <x v="23"/>
  </r>
  <r>
    <x v="7"/>
    <x v="2"/>
    <x v="86"/>
    <n v="2200"/>
    <n v="97849"/>
    <n v="215267800"/>
    <n v="3659559000"/>
    <x v="23"/>
  </r>
  <r>
    <x v="7"/>
    <x v="2"/>
    <x v="87"/>
    <n v="2300"/>
    <n v="93594"/>
    <n v="215266200"/>
    <n v="3659559000"/>
    <x v="23"/>
  </r>
  <r>
    <x v="7"/>
    <x v="2"/>
    <x v="88"/>
    <n v="1800"/>
    <n v="119593"/>
    <n v="215267400"/>
    <n v="3659559000"/>
    <x v="23"/>
  </r>
  <r>
    <x v="7"/>
    <x v="2"/>
    <x v="89"/>
    <n v="1700"/>
    <n v="126628"/>
    <n v="215267600"/>
    <n v="3659559000"/>
    <x v="23"/>
  </r>
  <r>
    <x v="7"/>
    <x v="2"/>
    <x v="90"/>
    <n v="1900"/>
    <n v="113299"/>
    <n v="215268100"/>
    <n v="3659559000"/>
    <x v="23"/>
  </r>
  <r>
    <x v="7"/>
    <x v="2"/>
    <x v="91"/>
    <n v="4000"/>
    <n v="53817"/>
    <n v="215268000"/>
    <n v="3659559000"/>
    <x v="23"/>
  </r>
  <r>
    <x v="7"/>
    <x v="2"/>
    <x v="92"/>
    <n v="650"/>
    <n v="331181"/>
    <n v="215267650"/>
    <n v="3659559000"/>
    <x v="23"/>
  </r>
  <r>
    <x v="7"/>
    <x v="2"/>
    <x v="93"/>
    <n v="1800"/>
    <n v="119593"/>
    <n v="215267400"/>
    <n v="3659559000"/>
    <x v="23"/>
  </r>
  <r>
    <x v="7"/>
    <x v="2"/>
    <x v="94"/>
    <n v="2800"/>
    <n v="76881"/>
    <n v="215266800"/>
    <n v="3659559000"/>
    <x v="23"/>
  </r>
  <r>
    <x v="7"/>
    <x v="2"/>
    <x v="95"/>
    <n v="4100"/>
    <n v="52507"/>
    <n v="215278700"/>
    <n v="3659559000"/>
    <x v="23"/>
  </r>
  <r>
    <x v="8"/>
    <x v="0"/>
    <x v="96"/>
    <n v="57480"/>
    <n v="35"/>
    <n v="2011800"/>
    <n v="30538000"/>
    <x v="24"/>
  </r>
  <r>
    <x v="8"/>
    <x v="0"/>
    <x v="97"/>
    <n v="51730"/>
    <n v="39"/>
    <n v="2017470"/>
    <n v="30538000"/>
    <x v="24"/>
  </r>
  <r>
    <x v="8"/>
    <x v="0"/>
    <x v="98"/>
    <n v="45620"/>
    <n v="44"/>
    <n v="2007280"/>
    <n v="30538000"/>
    <x v="24"/>
  </r>
  <r>
    <x v="8"/>
    <x v="0"/>
    <x v="99"/>
    <n v="38960"/>
    <n v="52"/>
    <n v="2025920"/>
    <n v="30538000"/>
    <x v="24"/>
  </r>
  <r>
    <x v="8"/>
    <x v="0"/>
    <x v="100"/>
    <n v="37080"/>
    <n v="54"/>
    <n v="2002320"/>
    <n v="30538000"/>
    <x v="24"/>
  </r>
  <r>
    <x v="8"/>
    <x v="0"/>
    <x v="101"/>
    <n v="36370"/>
    <n v="55"/>
    <n v="2000350"/>
    <n v="30538000"/>
    <x v="24"/>
  </r>
  <r>
    <x v="8"/>
    <x v="0"/>
    <x v="102"/>
    <n v="33110"/>
    <n v="61"/>
    <n v="2019710"/>
    <n v="30538000"/>
    <x v="24"/>
  </r>
  <r>
    <x v="8"/>
    <x v="0"/>
    <x v="97"/>
    <n v="58650"/>
    <n v="34"/>
    <n v="1994100"/>
    <n v="30538000"/>
    <x v="24"/>
  </r>
  <r>
    <x v="8"/>
    <x v="0"/>
    <x v="98"/>
    <n v="52030"/>
    <n v="39"/>
    <n v="2029170"/>
    <n v="30538000"/>
    <x v="24"/>
  </r>
  <r>
    <x v="8"/>
    <x v="0"/>
    <x v="99"/>
    <n v="44100"/>
    <n v="46"/>
    <n v="2028600"/>
    <n v="30538000"/>
    <x v="24"/>
  </r>
  <r>
    <x v="8"/>
    <x v="0"/>
    <x v="100"/>
    <n v="43640"/>
    <n v="46"/>
    <n v="2007440"/>
    <n v="30538000"/>
    <x v="24"/>
  </r>
  <r>
    <x v="8"/>
    <x v="0"/>
    <x v="101"/>
    <n v="41350"/>
    <n v="49"/>
    <n v="2026150"/>
    <n v="30538000"/>
    <x v="24"/>
  </r>
  <r>
    <x v="8"/>
    <x v="0"/>
    <x v="102"/>
    <n v="37640"/>
    <n v="169"/>
    <n v="6361160"/>
    <n v="30538000"/>
    <x v="24"/>
  </r>
  <r>
    <x v="8"/>
    <x v="1"/>
    <x v="96"/>
    <n v="57480"/>
    <n v="22"/>
    <n v="1264560"/>
    <n v="19535000"/>
    <x v="25"/>
  </r>
  <r>
    <x v="8"/>
    <x v="1"/>
    <x v="97"/>
    <n v="51730"/>
    <n v="25"/>
    <n v="1293250"/>
    <n v="19535000"/>
    <x v="25"/>
  </r>
  <r>
    <x v="8"/>
    <x v="1"/>
    <x v="98"/>
    <n v="45620"/>
    <n v="28"/>
    <n v="1277360"/>
    <n v="19535000"/>
    <x v="25"/>
  </r>
  <r>
    <x v="8"/>
    <x v="1"/>
    <x v="99"/>
    <n v="38960"/>
    <n v="33"/>
    <n v="1285680"/>
    <n v="19535000"/>
    <x v="25"/>
  </r>
  <r>
    <x v="8"/>
    <x v="1"/>
    <x v="100"/>
    <n v="37080"/>
    <n v="35"/>
    <n v="1297800"/>
    <n v="19535000"/>
    <x v="25"/>
  </r>
  <r>
    <x v="8"/>
    <x v="1"/>
    <x v="101"/>
    <n v="36370"/>
    <n v="35"/>
    <n v="1272950"/>
    <n v="19535000"/>
    <x v="25"/>
  </r>
  <r>
    <x v="8"/>
    <x v="1"/>
    <x v="102"/>
    <n v="33110"/>
    <n v="39"/>
    <n v="1291290"/>
    <n v="19535000"/>
    <x v="25"/>
  </r>
  <r>
    <x v="8"/>
    <x v="1"/>
    <x v="97"/>
    <n v="58650"/>
    <n v="22"/>
    <n v="1290300"/>
    <n v="19535000"/>
    <x v="25"/>
  </r>
  <r>
    <x v="8"/>
    <x v="1"/>
    <x v="98"/>
    <n v="52030"/>
    <n v="25"/>
    <n v="1300750"/>
    <n v="19535000"/>
    <x v="25"/>
  </r>
  <r>
    <x v="8"/>
    <x v="1"/>
    <x v="99"/>
    <n v="44100"/>
    <n v="29"/>
    <n v="1278900"/>
    <n v="19535000"/>
    <x v="25"/>
  </r>
  <r>
    <x v="8"/>
    <x v="1"/>
    <x v="100"/>
    <n v="43640"/>
    <n v="29"/>
    <n v="1265560"/>
    <n v="19535000"/>
    <x v="25"/>
  </r>
  <r>
    <x v="8"/>
    <x v="1"/>
    <x v="101"/>
    <n v="41350"/>
    <n v="31"/>
    <n v="1281850"/>
    <n v="19535000"/>
    <x v="25"/>
  </r>
  <r>
    <x v="8"/>
    <x v="1"/>
    <x v="102"/>
    <n v="37640"/>
    <n v="109"/>
    <n v="4102760"/>
    <n v="19535000"/>
    <x v="25"/>
  </r>
  <r>
    <x v="8"/>
    <x v="2"/>
    <x v="96"/>
    <n v="57480"/>
    <n v="90"/>
    <n v="5173200"/>
    <n v="78213000"/>
    <x v="26"/>
  </r>
  <r>
    <x v="8"/>
    <x v="2"/>
    <x v="97"/>
    <n v="51730"/>
    <n v="100"/>
    <n v="5173000"/>
    <n v="78213000"/>
    <x v="26"/>
  </r>
  <r>
    <x v="8"/>
    <x v="2"/>
    <x v="98"/>
    <n v="45620"/>
    <n v="114"/>
    <n v="5200680"/>
    <n v="78213000"/>
    <x v="26"/>
  </r>
  <r>
    <x v="8"/>
    <x v="2"/>
    <x v="99"/>
    <n v="38960"/>
    <n v="133"/>
    <n v="5181680"/>
    <n v="78213000"/>
    <x v="26"/>
  </r>
  <r>
    <x v="8"/>
    <x v="2"/>
    <x v="100"/>
    <n v="37080"/>
    <n v="140"/>
    <n v="5191200"/>
    <n v="78213000"/>
    <x v="26"/>
  </r>
  <r>
    <x v="8"/>
    <x v="2"/>
    <x v="101"/>
    <n v="36370"/>
    <n v="143"/>
    <n v="5200910"/>
    <n v="78213000"/>
    <x v="26"/>
  </r>
  <r>
    <x v="8"/>
    <x v="2"/>
    <x v="102"/>
    <n v="33110"/>
    <n v="157"/>
    <n v="5198270"/>
    <n v="78213000"/>
    <x v="26"/>
  </r>
  <r>
    <x v="8"/>
    <x v="2"/>
    <x v="97"/>
    <n v="58650"/>
    <n v="88"/>
    <n v="5161200"/>
    <n v="78213000"/>
    <x v="26"/>
  </r>
  <r>
    <x v="8"/>
    <x v="2"/>
    <x v="98"/>
    <n v="52030"/>
    <n v="100"/>
    <n v="5203000"/>
    <n v="78213000"/>
    <x v="26"/>
  </r>
  <r>
    <x v="8"/>
    <x v="2"/>
    <x v="99"/>
    <n v="44100"/>
    <n v="118"/>
    <n v="5203800"/>
    <n v="78213000"/>
    <x v="26"/>
  </r>
  <r>
    <x v="8"/>
    <x v="2"/>
    <x v="100"/>
    <n v="43640"/>
    <n v="119"/>
    <n v="5193160"/>
    <n v="78213000"/>
    <x v="26"/>
  </r>
  <r>
    <x v="8"/>
    <x v="2"/>
    <x v="101"/>
    <n v="41350"/>
    <n v="126"/>
    <n v="5210100"/>
    <n v="78213000"/>
    <x v="26"/>
  </r>
  <r>
    <x v="8"/>
    <x v="2"/>
    <x v="102"/>
    <n v="37640"/>
    <n v="423"/>
    <n v="15921720"/>
    <n v="78213000"/>
    <x v="26"/>
  </r>
  <r>
    <x v="9"/>
    <x v="0"/>
    <x v="103"/>
    <n v="2000"/>
    <n v="9"/>
    <n v="18000"/>
    <n v="1030000"/>
    <x v="27"/>
  </r>
  <r>
    <x v="9"/>
    <x v="0"/>
    <x v="104"/>
    <n v="18000"/>
    <n v="0"/>
    <n v="0"/>
    <n v="1030000"/>
    <x v="27"/>
  </r>
  <r>
    <x v="9"/>
    <x v="0"/>
    <x v="105"/>
    <n v="2000"/>
    <n v="107"/>
    <n v="214000"/>
    <n v="1030000"/>
    <x v="27"/>
  </r>
  <r>
    <x v="9"/>
    <x v="0"/>
    <x v="106"/>
    <n v="25000"/>
    <n v="4"/>
    <n v="100000"/>
    <n v="1030000"/>
    <x v="27"/>
  </r>
  <r>
    <x v="9"/>
    <x v="0"/>
    <x v="107"/>
    <n v="500"/>
    <n v="261"/>
    <n v="130500"/>
    <n v="1030000"/>
    <x v="27"/>
  </r>
  <r>
    <x v="9"/>
    <x v="0"/>
    <x v="108"/>
    <n v="7000"/>
    <n v="0"/>
    <n v="0"/>
    <n v="1030000"/>
    <x v="27"/>
  </r>
  <r>
    <x v="9"/>
    <x v="0"/>
    <x v="109"/>
    <n v="500"/>
    <n v="744"/>
    <n v="372000"/>
    <n v="1030000"/>
    <x v="27"/>
  </r>
  <r>
    <x v="9"/>
    <x v="0"/>
    <x v="110"/>
    <n v="7000"/>
    <n v="27"/>
    <n v="189000"/>
    <n v="1030000"/>
    <x v="27"/>
  </r>
  <r>
    <x v="9"/>
    <x v="1"/>
    <x v="103"/>
    <n v="2000"/>
    <n v="68"/>
    <n v="136000"/>
    <n v="2164000"/>
    <x v="28"/>
  </r>
  <r>
    <x v="9"/>
    <x v="1"/>
    <x v="104"/>
    <n v="18000"/>
    <n v="7"/>
    <n v="126000"/>
    <n v="2164000"/>
    <x v="28"/>
  </r>
  <r>
    <x v="9"/>
    <x v="1"/>
    <x v="105"/>
    <n v="2000"/>
    <n v="61"/>
    <n v="122000"/>
    <n v="2164000"/>
    <x v="28"/>
  </r>
  <r>
    <x v="9"/>
    <x v="1"/>
    <x v="106"/>
    <n v="25000"/>
    <n v="9"/>
    <n v="225000"/>
    <n v="2164000"/>
    <x v="28"/>
  </r>
  <r>
    <x v="9"/>
    <x v="1"/>
    <x v="107"/>
    <n v="500"/>
    <n v="891"/>
    <n v="445500"/>
    <n v="2164000"/>
    <x v="28"/>
  </r>
  <r>
    <x v="9"/>
    <x v="1"/>
    <x v="108"/>
    <n v="7000"/>
    <n v="48"/>
    <n v="336000"/>
    <n v="2164000"/>
    <x v="28"/>
  </r>
  <r>
    <x v="9"/>
    <x v="1"/>
    <x v="109"/>
    <n v="500"/>
    <n v="413"/>
    <n v="206500"/>
    <n v="2164000"/>
    <x v="28"/>
  </r>
  <r>
    <x v="9"/>
    <x v="1"/>
    <x v="110"/>
    <n v="7000"/>
    <n v="81"/>
    <n v="567000"/>
    <n v="2164000"/>
    <x v="28"/>
  </r>
  <r>
    <x v="9"/>
    <x v="2"/>
    <x v="103"/>
    <n v="2000"/>
    <n v="97"/>
    <n v="194000"/>
    <n v="6268000"/>
    <x v="29"/>
  </r>
  <r>
    <x v="9"/>
    <x v="2"/>
    <x v="104"/>
    <n v="18000"/>
    <n v="24"/>
    <n v="432000"/>
    <n v="6268000"/>
    <x v="29"/>
  </r>
  <r>
    <x v="9"/>
    <x v="2"/>
    <x v="105"/>
    <n v="2000"/>
    <n v="289"/>
    <n v="578000"/>
    <n v="6268000"/>
    <x v="29"/>
  </r>
  <r>
    <x v="9"/>
    <x v="2"/>
    <x v="106"/>
    <n v="25000"/>
    <n v="31"/>
    <n v="775000"/>
    <n v="6268000"/>
    <x v="29"/>
  </r>
  <r>
    <x v="9"/>
    <x v="2"/>
    <x v="107"/>
    <n v="500"/>
    <n v="3905"/>
    <n v="1952500"/>
    <n v="6268000"/>
    <x v="29"/>
  </r>
  <r>
    <x v="9"/>
    <x v="2"/>
    <x v="108"/>
    <n v="7000"/>
    <n v="40"/>
    <n v="280000"/>
    <n v="6268000"/>
    <x v="29"/>
  </r>
  <r>
    <x v="9"/>
    <x v="2"/>
    <x v="109"/>
    <n v="500"/>
    <n v="1832"/>
    <n v="916000"/>
    <n v="6268000"/>
    <x v="29"/>
  </r>
  <r>
    <x v="9"/>
    <x v="2"/>
    <x v="110"/>
    <n v="7000"/>
    <n v="163"/>
    <n v="1141000"/>
    <n v="6268000"/>
    <x v="29"/>
  </r>
  <r>
    <x v="10"/>
    <x v="3"/>
    <x v="111"/>
    <m/>
    <m/>
    <m/>
    <m/>
    <x v="30"/>
  </r>
  <r>
    <x v="10"/>
    <x v="3"/>
    <x v="111"/>
    <m/>
    <m/>
    <m/>
    <m/>
    <x v="30"/>
  </r>
  <r>
    <x v="10"/>
    <x v="3"/>
    <x v="111"/>
    <m/>
    <m/>
    <m/>
    <m/>
    <x v="30"/>
  </r>
  <r>
    <x v="10"/>
    <x v="3"/>
    <x v="111"/>
    <m/>
    <m/>
    <m/>
    <m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1">
  <r>
    <x v="0"/>
    <s v="Древесноволокнистая плита, шлифованная, 16 мм"/>
    <n v="4500"/>
    <n v="154047"/>
    <n v="693211500"/>
    <n v="2750148000"/>
    <n v="202576000"/>
  </r>
  <r>
    <x v="0"/>
    <s v="Древесноволокнистая плита, шлифованная, 18 мм"/>
    <n v="5000"/>
    <n v="109324"/>
    <n v="546620000"/>
    <n v="2750148000"/>
    <n v="202576000"/>
  </r>
  <r>
    <x v="0"/>
    <s v="Древесноволокнистая плита, ламинированная &quot;Дуб&quot;, 16 мм"/>
    <n v="8000"/>
    <n v="84538"/>
    <n v="676304000"/>
    <n v="2750148000"/>
    <n v="202576000"/>
  </r>
  <r>
    <x v="0"/>
    <s v="Древесноволокнистая плита, ламинированная &quot;Белый&quot;, 16 мм"/>
    <n v="8200"/>
    <n v="49693"/>
    <n v="407482600"/>
    <n v="2750148000"/>
    <n v="202576000"/>
  </r>
  <r>
    <x v="0"/>
    <s v="Древесноволокнистая плита, крашенная белая, 19 мм"/>
    <n v="9500"/>
    <n v="27828"/>
    <n v="264366000"/>
    <n v="2750148000"/>
    <n v="202576000"/>
  </r>
  <r>
    <x v="0"/>
    <s v="Древесноволокнистая плита, влагостойкая, 18 мм"/>
    <n v="10000"/>
    <n v="14558"/>
    <n v="145580000"/>
    <n v="2750148000"/>
    <n v="202576000"/>
  </r>
  <r>
    <x v="0"/>
    <s v="Древесноволокнистая плита, фигурная фасадная, 19 мм"/>
    <n v="12500"/>
    <n v="1326"/>
    <n v="16575000"/>
    <n v="2750148000"/>
    <n v="202576000"/>
  </r>
  <r>
    <x v="1"/>
    <s v="Древесноволокнистая плита, шлифованная, 16 мм"/>
    <n v="4700"/>
    <n v="83772"/>
    <n v="393728400"/>
    <n v="1466712000"/>
    <n v="681559000"/>
  </r>
  <r>
    <x v="1"/>
    <s v="Древесноволокнистая плита, шлифованная, 18 мм"/>
    <n v="5200"/>
    <n v="60502"/>
    <n v="314610400"/>
    <n v="1466712000"/>
    <n v="681559000"/>
  </r>
  <r>
    <x v="1"/>
    <s v="Древесноволокнистая плита, ламинированная &quot;Дуб&quot;, 16 мм"/>
    <n v="8300"/>
    <n v="46540"/>
    <n v="386282000"/>
    <n v="1466712000"/>
    <n v="681559000"/>
  </r>
  <r>
    <x v="1"/>
    <s v="Древесноволокнистая плита, ламинированная &quot;Белый&quot;, 16 мм"/>
    <n v="8500"/>
    <n v="23270"/>
    <n v="197795000"/>
    <n v="1466712000"/>
    <n v="681559000"/>
  </r>
  <r>
    <x v="1"/>
    <s v="Древесноволокнистая плита, крашенная белая, 19 мм"/>
    <n v="9800"/>
    <n v="11170"/>
    <n v="109466000"/>
    <n v="1466712000"/>
    <n v="681559000"/>
  </r>
  <r>
    <x v="1"/>
    <s v="Древесноволокнистая плита, влагостойкая, 18 мм"/>
    <n v="10200"/>
    <n v="5167"/>
    <n v="52703400"/>
    <n v="1466712000"/>
    <n v="681559000"/>
  </r>
  <r>
    <x v="1"/>
    <s v="Древесноволокнистая плита, фигурная фасадная, 19 мм"/>
    <n v="13000"/>
    <n v="931"/>
    <n v="12103000"/>
    <n v="1466712000"/>
    <n v="681559000"/>
  </r>
  <r>
    <x v="2"/>
    <s v="Древесноволокнистая плита, шлифованная, 16 мм"/>
    <n v="4800"/>
    <n v="72437"/>
    <n v="347697600"/>
    <n v="1156276000"/>
    <n v="717073000"/>
  </r>
  <r>
    <x v="2"/>
    <s v="Древесноволокнистая плита, шлифованная, 18 мм"/>
    <n v="5300"/>
    <n v="53121"/>
    <n v="281541300"/>
    <n v="1156276000"/>
    <n v="717073000"/>
  </r>
  <r>
    <x v="2"/>
    <s v="Древесноволокнистая плита, ламинированная &quot;Дуб&quot;, 16 мм"/>
    <n v="8500"/>
    <n v="33804"/>
    <n v="287334000"/>
    <n v="1156276000"/>
    <n v="717073000"/>
  </r>
  <r>
    <x v="2"/>
    <s v="Древесноволокнистая плита, ламинированная &quot;Белый&quot;, 16 мм"/>
    <n v="8700"/>
    <n v="14487"/>
    <n v="126036900"/>
    <n v="1156276000"/>
    <n v="717073000"/>
  </r>
  <r>
    <x v="2"/>
    <s v="Древесноволокнистая плита, крашенная белая, 19 мм"/>
    <n v="10000"/>
    <n v="5795"/>
    <n v="57950000"/>
    <n v="1156276000"/>
    <n v="717073000"/>
  </r>
  <r>
    <x v="2"/>
    <s v="Древесноволокнистая плита, влагостойкая, 18 мм"/>
    <n v="10500"/>
    <n v="4394"/>
    <n v="46137000"/>
    <n v="1156276000"/>
    <n v="717073000"/>
  </r>
  <r>
    <x v="2"/>
    <s v="Древесноволокнистая плита, фигурная фасадная, 19 мм"/>
    <n v="13200"/>
    <n v="724"/>
    <n v="9556800"/>
    <n v="1156276000"/>
    <n v="717073000"/>
  </r>
  <r>
    <x v="0"/>
    <s v="Брус клееный 100x100 мм"/>
    <n v="18478"/>
    <n v="11942"/>
    <n v="220664276"/>
    <n v="1155052000"/>
    <n v="103569000"/>
  </r>
  <r>
    <x v="0"/>
    <s v="Доска строганная 50x150x6000 мм"/>
    <n v="9788"/>
    <n v="14458"/>
    <n v="141514904"/>
    <n v="1155052000"/>
    <n v="103569000"/>
  </r>
  <r>
    <x v="0"/>
    <s v="Оцилиндрованное бревно 240 мм"/>
    <n v="11189"/>
    <n v="17121"/>
    <n v="191566869"/>
    <n v="1155052000"/>
    <n v="103569000"/>
  </r>
  <r>
    <x v="0"/>
    <s v="Имитация бруса 21x146 мм"/>
    <n v="6492"/>
    <n v="30533"/>
    <n v="198220236"/>
    <n v="1155052000"/>
    <n v="103569000"/>
  </r>
  <r>
    <x v="0"/>
    <s v="Вагонка Штиль 12,5x96 мм"/>
    <n v="5193"/>
    <n v="36620"/>
    <n v="190167660"/>
    <n v="1155052000"/>
    <n v="103569000"/>
  </r>
  <r>
    <x v="0"/>
    <s v="Блок-Хаус 36x190 мм"/>
    <n v="8090"/>
    <n v="24065"/>
    <n v="194685850"/>
    <n v="1155052000"/>
    <n v="103569000"/>
  </r>
  <r>
    <x v="0"/>
    <s v="Мебельный щит из сосны 40x600x1200 мм"/>
    <n v="4296"/>
    <n v="4244"/>
    <n v="18232224"/>
    <n v="1155052000"/>
    <n v="103569000"/>
  </r>
  <r>
    <x v="1"/>
    <s v="Брус клееный 100x100 мм"/>
    <n v="19200"/>
    <n v="15970"/>
    <n v="306624000"/>
    <n v="1568018000"/>
    <n v="133969000"/>
  </r>
  <r>
    <x v="1"/>
    <s v="Доска строганная 50x150x6000 мм"/>
    <n v="10500"/>
    <n v="19899"/>
    <n v="208939500"/>
    <n v="1568018000"/>
    <n v="133969000"/>
  </r>
  <r>
    <x v="1"/>
    <s v="Оцилиндрованное бревно 240 мм"/>
    <n v="11800"/>
    <n v="22819"/>
    <n v="269264200"/>
    <n v="1568018000"/>
    <n v="133969000"/>
  </r>
  <r>
    <x v="1"/>
    <s v="Имитация бруса 21x146 мм"/>
    <n v="6900"/>
    <n v="37156"/>
    <n v="256376400"/>
    <n v="1568018000"/>
    <n v="133969000"/>
  </r>
  <r>
    <x v="1"/>
    <s v="Вагонка Штиль 12,5x96 мм"/>
    <n v="5500"/>
    <n v="45999"/>
    <n v="252994500"/>
    <n v="1568018000"/>
    <n v="133969000"/>
  </r>
  <r>
    <x v="1"/>
    <s v="Блок-Хаус 36x190 мм"/>
    <n v="8600"/>
    <n v="28749"/>
    <n v="247241400"/>
    <n v="1568018000"/>
    <n v="133969000"/>
  </r>
  <r>
    <x v="1"/>
    <s v="Мебельный щит из сосны 40x600x1200 мм"/>
    <n v="4600"/>
    <n v="5774"/>
    <n v="26560400"/>
    <n v="1568018000"/>
    <n v="133969000"/>
  </r>
  <r>
    <x v="2"/>
    <s v="Брус клееный 100x100 мм"/>
    <n v="20000"/>
    <n v="19365"/>
    <n v="387300000"/>
    <n v="1992795000"/>
    <n v="78763000"/>
  </r>
  <r>
    <x v="2"/>
    <s v="Доска строганная 50x150x6000 мм"/>
    <n v="11200"/>
    <n v="24099"/>
    <n v="269908800"/>
    <n v="1992795000"/>
    <n v="78763000"/>
  </r>
  <r>
    <x v="2"/>
    <s v="Оцилиндрованное бревно 240 мм"/>
    <n v="12500"/>
    <n v="27541"/>
    <n v="344262500"/>
    <n v="1992795000"/>
    <n v="78763000"/>
  </r>
  <r>
    <x v="2"/>
    <s v="Имитация бруса 21x146 мм"/>
    <n v="7400"/>
    <n v="43034"/>
    <n v="318451600"/>
    <n v="1992795000"/>
    <n v="78763000"/>
  </r>
  <r>
    <x v="2"/>
    <s v="Вагонка Штиль 12,5x96 мм"/>
    <n v="5800"/>
    <n v="55944"/>
    <n v="324475200"/>
    <n v="1992795000"/>
    <n v="78763000"/>
  </r>
  <r>
    <x v="2"/>
    <s v="Блок-Хаус 36x190 мм"/>
    <n v="9100"/>
    <n v="34427"/>
    <n v="313285700"/>
    <n v="1992795000"/>
    <n v="78763000"/>
  </r>
  <r>
    <x v="2"/>
    <s v="Мебельный щит из сосны 40x600x1200 мм"/>
    <n v="4900"/>
    <n v="7164"/>
    <n v="35103600"/>
    <n v="1992795000"/>
    <n v="78763000"/>
  </r>
  <r>
    <x v="0"/>
    <s v="Брус сухой строганный 100x100x6000 мм"/>
    <n v="16500"/>
    <n v="35896"/>
    <n v="592284000"/>
    <n v="2946303000"/>
    <n v="431400000"/>
  </r>
  <r>
    <x v="0"/>
    <s v="Брус сухой строганный 150x150x6000 мм"/>
    <n v="24000"/>
    <n v="20782"/>
    <n v="498768000"/>
    <n v="2946303000"/>
    <n v="431400000"/>
  </r>
  <r>
    <x v="0"/>
    <s v="Доска сухая строганная 50x150x6000 мм"/>
    <n v="11200"/>
    <n v="33062"/>
    <n v="370294400"/>
    <n v="2946303000"/>
    <n v="431400000"/>
  </r>
  <r>
    <x v="0"/>
    <s v="Доска сухая строганная 25x150x6000 мм"/>
    <n v="8500"/>
    <n v="40101"/>
    <n v="340858500"/>
    <n v="2946303000"/>
    <n v="431400000"/>
  </r>
  <r>
    <x v="0"/>
    <s v="Террасная доска из лиственницы 27x145 мм"/>
    <n v="13500"/>
    <n v="16170"/>
    <n v="218295000"/>
    <n v="2946303000"/>
    <n v="431400000"/>
  </r>
  <r>
    <x v="0"/>
    <s v="Планкен фасадный из лиственницы 20x70 мм"/>
    <n v="12800"/>
    <n v="15114"/>
    <n v="193459200"/>
    <n v="2946303000"/>
    <n v="431400000"/>
  </r>
  <r>
    <x v="0"/>
    <s v="Имитация бруса 21x146 мм"/>
    <n v="9200"/>
    <n v="18893"/>
    <n v="173815600"/>
    <n v="2946303000"/>
    <n v="431400000"/>
  </r>
  <r>
    <x v="0"/>
    <s v="Вагонка евро 12.5x96 мм"/>
    <n v="7800"/>
    <n v="18893"/>
    <n v="147365400"/>
    <n v="2946303000"/>
    <n v="431400000"/>
  </r>
  <r>
    <x v="0"/>
    <s v="Блок-Хаус 28x190 мм"/>
    <n v="10500"/>
    <n v="13225"/>
    <n v="138862500"/>
    <n v="2946303000"/>
    <n v="431400000"/>
  </r>
  <r>
    <x v="0"/>
    <s v="Доска пола шпунтованная 36x135 мм"/>
    <n v="12200"/>
    <n v="10391"/>
    <n v="126770200"/>
    <n v="2946303000"/>
    <n v="431400000"/>
  </r>
  <r>
    <x v="0"/>
    <s v="Мебельный щит 40x600x1200 мм"/>
    <n v="5600"/>
    <n v="14169"/>
    <n v="79346400"/>
    <n v="2946303000"/>
    <n v="431400000"/>
  </r>
  <r>
    <x v="0"/>
    <s v="Рейка обрешетки 30x50 мм"/>
    <n v="3500"/>
    <n v="18893"/>
    <n v="66125500"/>
    <n v="2946303000"/>
    <n v="431400000"/>
  </r>
  <r>
    <x v="1"/>
    <s v="Брус сухой строганный 100x100x6000 мм"/>
    <n v="17200"/>
    <n v="38132"/>
    <n v="655870400"/>
    <n v="3387456000"/>
    <n v="544435000"/>
  </r>
  <r>
    <x v="1"/>
    <s v="Брус сухой строганный 150x150x6000 мм"/>
    <n v="25000"/>
    <n v="23568"/>
    <n v="589200000"/>
    <n v="3387456000"/>
    <n v="544435000"/>
  </r>
  <r>
    <x v="1"/>
    <s v="Доска сухая строганная 50x150x6000 мм"/>
    <n v="11800"/>
    <n v="36316"/>
    <n v="428528800"/>
    <n v="3387456000"/>
    <n v="544435000"/>
  </r>
  <r>
    <x v="1"/>
    <s v="Доска сухая строганная 25x150x6000 мм"/>
    <n v="8900"/>
    <n v="40856"/>
    <n v="363618400"/>
    <n v="3387456000"/>
    <n v="544435000"/>
  </r>
  <r>
    <x v="1"/>
    <s v="Террасная доска из лиственницы 27x145 мм"/>
    <n v="14200"/>
    <n v="19066"/>
    <n v="270737200"/>
    <n v="3387456000"/>
    <n v="544435000"/>
  </r>
  <r>
    <x v="1"/>
    <s v="Планкен фасадный из лиственницы 20x70 мм"/>
    <n v="13500"/>
    <n v="16342"/>
    <n v="220617000"/>
    <n v="3387456000"/>
    <n v="544435000"/>
  </r>
  <r>
    <x v="1"/>
    <s v="Имитация бруса 21x146 мм"/>
    <n v="9700"/>
    <n v="19974"/>
    <n v="193747800"/>
    <n v="3387456000"/>
    <n v="544435000"/>
  </r>
  <r>
    <x v="1"/>
    <s v="Вагонка евро 12.5x96 мм"/>
    <n v="8200"/>
    <n v="20882"/>
    <n v="171232400"/>
    <n v="3387456000"/>
    <n v="544435000"/>
  </r>
  <r>
    <x v="1"/>
    <s v="Блок-Хаус 28x190 мм"/>
    <n v="11100"/>
    <n v="14526"/>
    <n v="161238600"/>
    <n v="3387456000"/>
    <n v="544435000"/>
  </r>
  <r>
    <x v="1"/>
    <s v="Доска пола шпунтованная 36x135 мм"/>
    <n v="12900"/>
    <n v="11803"/>
    <n v="152258700"/>
    <n v="3387456000"/>
    <n v="544435000"/>
  </r>
  <r>
    <x v="1"/>
    <s v="Мебельный щит 40x600x1200 мм"/>
    <n v="5900"/>
    <n v="16342"/>
    <n v="96417800"/>
    <n v="3387456000"/>
    <n v="544435000"/>
  </r>
  <r>
    <x v="1"/>
    <s v="Рейка обрешетки 30x50 мм"/>
    <n v="3700"/>
    <n v="22698"/>
    <n v="83982600"/>
    <n v="3387456000"/>
    <n v="544435000"/>
  </r>
  <r>
    <x v="2"/>
    <s v="Брус сухой строганный 100x100x6000 мм"/>
    <n v="18000"/>
    <n v="41253"/>
    <n v="742554000"/>
    <n v="4246648000"/>
    <n v="441191000"/>
  </r>
  <r>
    <x v="2"/>
    <s v="Брус сухой строганный 150x150x6000 мм"/>
    <n v="26200"/>
    <n v="27502"/>
    <n v="720552400"/>
    <n v="4246648000"/>
    <n v="441191000"/>
  </r>
  <r>
    <x v="2"/>
    <s v="Доска сухая строганная 50x150x6000 мм"/>
    <n v="12500"/>
    <n v="41253"/>
    <n v="515662500"/>
    <n v="4246648000"/>
    <n v="441191000"/>
  </r>
  <r>
    <x v="2"/>
    <s v="Доска сухая строганная 25x150x6000 мм"/>
    <n v="9400"/>
    <n v="47151"/>
    <n v="443219400"/>
    <n v="4246648000"/>
    <n v="441191000"/>
  </r>
  <r>
    <x v="2"/>
    <s v="Террасная доска из лиственницы 27x145 мм"/>
    <n v="15000"/>
    <n v="24064"/>
    <n v="360960000"/>
    <n v="4246648000"/>
    <n v="441191000"/>
  </r>
  <r>
    <x v="2"/>
    <s v="Планкен фасадный из лиственницы 20x70 мм"/>
    <n v="14200"/>
    <n v="21486"/>
    <n v="305101200"/>
    <n v="4246648000"/>
    <n v="441191000"/>
  </r>
  <r>
    <x v="2"/>
    <s v="Имитация бруса 21x146 мм"/>
    <n v="10300"/>
    <n v="24064"/>
    <n v="247859200"/>
    <n v="4246648000"/>
    <n v="441191000"/>
  </r>
  <r>
    <x v="2"/>
    <s v="Вагонка евро 12.5x96 мм"/>
    <n v="8700"/>
    <n v="25783"/>
    <n v="224312100"/>
    <n v="4246648000"/>
    <n v="441191000"/>
  </r>
  <r>
    <x v="2"/>
    <s v="Блок-Хаус 28x190 мм"/>
    <n v="11800"/>
    <n v="18908"/>
    <n v="223114400"/>
    <n v="4246648000"/>
    <n v="441191000"/>
  </r>
  <r>
    <x v="2"/>
    <s v="Доска пола шпунтованная 36x135 мм"/>
    <n v="13600"/>
    <n v="15470"/>
    <n v="210392000"/>
    <n v="4246648000"/>
    <n v="441191000"/>
  </r>
  <r>
    <x v="2"/>
    <s v="Мебельный щит 40x600x1200 мм"/>
    <n v="6300"/>
    <n v="21486"/>
    <n v="135361800"/>
    <n v="4246648000"/>
    <n v="441191000"/>
  </r>
  <r>
    <x v="2"/>
    <s v="Рейка обрешетки 30x50 мм"/>
    <n v="3900"/>
    <n v="30080"/>
    <n v="117312000"/>
    <n v="4246648000"/>
    <n v="441191000"/>
  </r>
  <r>
    <x v="0"/>
    <s v="Брус клееный 100x100x6000 мм"/>
    <n v="18500"/>
    <n v="45833"/>
    <n v="847910500"/>
    <n v="3863261000"/>
    <n v="185620000"/>
  </r>
  <r>
    <x v="0"/>
    <s v="Брус клееный 150x150x6000 мм"/>
    <n v="26000"/>
    <n v="28519"/>
    <n v="741494000"/>
    <n v="3863261000"/>
    <n v="185620000"/>
  </r>
  <r>
    <x v="0"/>
    <s v="Домокомплект &quot;Дачный&quot; (каркас)"/>
    <n v="850000"/>
    <n v="387"/>
    <n v="328950000"/>
    <n v="3863261000"/>
    <n v="185620000"/>
  </r>
  <r>
    <x v="0"/>
    <s v="Домокомплект &quot;Баня&quot; (сруб)"/>
    <n v="650000"/>
    <n v="428"/>
    <n v="278200000"/>
    <n v="3863261000"/>
    <n v="185620000"/>
  </r>
  <r>
    <x v="0"/>
    <s v="Доска строганная 50x150x6000 мм"/>
    <n v="10200"/>
    <n v="12307"/>
    <n v="125531400"/>
    <n v="3863261000"/>
    <n v="185620000"/>
  </r>
  <r>
    <x v="0"/>
    <s v="Балка клееная 100x200x6000 мм"/>
    <n v="32000"/>
    <n v="6620"/>
    <n v="211840000"/>
    <n v="3863261000"/>
    <n v="185620000"/>
  </r>
  <r>
    <x v="0"/>
    <s v="Оконный брус клееный"/>
    <n v="12500"/>
    <n v="16296"/>
    <n v="203700000"/>
    <n v="3863261000"/>
    <n v="185620000"/>
  </r>
  <r>
    <x v="0"/>
    <s v="Домокомплект &quot;Гостевой дом&quot;"/>
    <n v="1200000"/>
    <n v="163"/>
    <n v="195600000"/>
    <n v="3863261000"/>
    <n v="185620000"/>
  </r>
  <r>
    <x v="0"/>
    <s v="Стропильная система (КДК)"/>
    <n v="180000"/>
    <n v="968"/>
    <n v="174240000"/>
    <n v="3863261000"/>
    <n v="185620000"/>
  </r>
  <r>
    <x v="0"/>
    <s v="Панель стеновая СИП"/>
    <n v="8500"/>
    <n v="18333"/>
    <n v="155830500"/>
    <n v="3863261000"/>
    <n v="185620000"/>
  </r>
  <r>
    <x v="0"/>
    <s v="Имитация бруса 21x146 мм"/>
    <n v="7800"/>
    <n v="15278"/>
    <n v="119168400"/>
    <n v="3863261000"/>
    <n v="185620000"/>
  </r>
  <r>
    <x v="0"/>
    <s v="Террасная доска 45x145 мм"/>
    <n v="12800"/>
    <n v="8657"/>
    <n v="110809600"/>
    <n v="3863261000"/>
    <n v="185620000"/>
  </r>
  <r>
    <x v="0"/>
    <s v="Блок-Хаус 28x190 мм"/>
    <n v="9600"/>
    <n v="9167"/>
    <n v="88003200"/>
    <n v="3863261000"/>
    <n v="185620000"/>
  </r>
  <r>
    <x v="0"/>
    <s v="Вагонка евро 12.5x96 мм"/>
    <n v="6900"/>
    <n v="11204"/>
    <n v="77307600"/>
    <n v="3863261000"/>
    <n v="185620000"/>
  </r>
  <r>
    <x v="0"/>
    <s v="Арка клееная (КДК)"/>
    <n v="85000"/>
    <n v="815"/>
    <n v="69275000"/>
    <n v="3863261000"/>
    <n v="185620000"/>
  </r>
  <r>
    <x v="0"/>
    <s v="Лестница деревянная (КДК)"/>
    <n v="120000"/>
    <n v="458"/>
    <n v="54960000"/>
    <n v="3863261000"/>
    <n v="185620000"/>
  </r>
  <r>
    <x v="0"/>
    <s v="Колонна декоративная (КДК)"/>
    <n v="95000"/>
    <n v="509"/>
    <n v="48355000"/>
    <n v="3863261000"/>
    <n v="185620000"/>
  </r>
  <r>
    <x v="0"/>
    <s v="Ферма клееная 12м (КДК)"/>
    <n v="450000"/>
    <n v="71"/>
    <n v="31950000"/>
    <n v="3863261000"/>
    <n v="185620000"/>
  </r>
  <r>
    <x v="1"/>
    <s v="Брус клееный 100x100x6000 мм"/>
    <n v="19200"/>
    <n v="43287"/>
    <n v="831110400"/>
    <n v="4596643000"/>
    <n v="544978000"/>
  </r>
  <r>
    <x v="1"/>
    <s v="Брус клееный 150x150x6000 мм"/>
    <n v="27000"/>
    <n v="6754"/>
    <n v="182358000"/>
    <n v="4596643000"/>
    <n v="544978000"/>
  </r>
  <r>
    <x v="1"/>
    <s v="Домокомплект &quot;Дачный&quot; (каркас)"/>
    <n v="890000"/>
    <n v="501"/>
    <n v="445890000"/>
    <n v="4596643000"/>
    <n v="544978000"/>
  </r>
  <r>
    <x v="1"/>
    <s v="Домокомплект &quot;Баня&quot; (сруб)"/>
    <n v="680000"/>
    <n v="540"/>
    <n v="367200000"/>
    <n v="4596643000"/>
    <n v="544978000"/>
  </r>
  <r>
    <x v="1"/>
    <s v="Доска строганная 50x150x6000 мм"/>
    <n v="10700"/>
    <n v="29958"/>
    <n v="320550600"/>
    <n v="4596643000"/>
    <n v="544978000"/>
  </r>
  <r>
    <x v="1"/>
    <s v="Балка клееная 100x200x6000 мм"/>
    <n v="33500"/>
    <n v="8545"/>
    <n v="286257500"/>
    <n v="4596643000"/>
    <n v="544978000"/>
  </r>
  <r>
    <x v="1"/>
    <s v="Оконный брус клееный"/>
    <n v="13100"/>
    <n v="19582"/>
    <n v="256524200"/>
    <n v="4596643000"/>
    <n v="544978000"/>
  </r>
  <r>
    <x v="1"/>
    <s v="Домокомплект &quot;Гостевой дом&quot;"/>
    <n v="1260000"/>
    <n v="306"/>
    <n v="385560000"/>
    <n v="4596643000"/>
    <n v="544978000"/>
  </r>
  <r>
    <x v="1"/>
    <s v="Стропильная система (КДК)"/>
    <n v="189000"/>
    <n v="1237"/>
    <n v="233793000"/>
    <n v="4596643000"/>
    <n v="544978000"/>
  </r>
  <r>
    <x v="1"/>
    <s v="Панель стеновая СИП"/>
    <n v="8900"/>
    <n v="23746"/>
    <n v="211339400"/>
    <n v="4596643000"/>
    <n v="544978000"/>
  </r>
  <r>
    <x v="1"/>
    <s v="Имитация бруса 21x146 мм"/>
    <n v="8200"/>
    <n v="19582"/>
    <n v="160572400"/>
    <n v="4596643000"/>
    <n v="544978000"/>
  </r>
  <r>
    <x v="1"/>
    <s v="Террасная доска 45x145 мм"/>
    <n v="13400"/>
    <n v="22437"/>
    <n v="300655800"/>
    <n v="4596643000"/>
    <n v="544978000"/>
  </r>
  <r>
    <x v="1"/>
    <s v="Блок-Хаус 28x190 мм"/>
    <n v="10100"/>
    <n v="12368"/>
    <n v="124916800"/>
    <n v="4596643000"/>
    <n v="544978000"/>
  </r>
  <r>
    <x v="1"/>
    <s v="Вагонка евро 12.5x96 мм"/>
    <n v="7250"/>
    <n v="16480"/>
    <n v="119480000"/>
    <n v="4596643000"/>
    <n v="544978000"/>
  </r>
  <r>
    <x v="1"/>
    <s v="Арка клееная (КДК)"/>
    <n v="89000"/>
    <n v="1134"/>
    <n v="100926000"/>
    <n v="4596643000"/>
    <n v="544978000"/>
  </r>
  <r>
    <x v="1"/>
    <s v="Лестница деревянная (КДК)"/>
    <n v="126000"/>
    <n v="1021"/>
    <n v="128646000"/>
    <n v="4596643000"/>
    <n v="544978000"/>
  </r>
  <r>
    <x v="1"/>
    <s v="Колонна декоративная (КДК)"/>
    <n v="100000"/>
    <n v="821"/>
    <n v="82100000"/>
    <n v="4596643000"/>
    <n v="544978000"/>
  </r>
  <r>
    <x v="1"/>
    <s v="Ферма клееная 12м (КДК)"/>
    <n v="472000"/>
    <n v="124"/>
    <n v="58528000"/>
    <n v="4596643000"/>
    <n v="544978000"/>
  </r>
  <r>
    <x v="2"/>
    <s v="Брус клееный 100x100x6000 мм"/>
    <n v="20000"/>
    <n v="47246"/>
    <n v="944920000"/>
    <n v="5511710000"/>
    <n v="222297000"/>
  </r>
  <r>
    <x v="2"/>
    <s v="Брус клееный 150x150x6000 мм"/>
    <n v="28200"/>
    <n v="31790"/>
    <n v="896478000"/>
    <n v="5511710000"/>
    <n v="222297000"/>
  </r>
  <r>
    <x v="2"/>
    <s v="Домокомплект &quot;Дачный&quot; (каркас)"/>
    <n v="930000"/>
    <n v="563"/>
    <n v="523590000"/>
    <n v="5511710000"/>
    <n v="222297000"/>
  </r>
  <r>
    <x v="2"/>
    <s v="Домокомплект &quot;Баня&quot; (сруб)"/>
    <n v="710000"/>
    <n v="581"/>
    <n v="412510000"/>
    <n v="5511710000"/>
    <n v="222297000"/>
  </r>
  <r>
    <x v="2"/>
    <s v="Доска строганная 50x150x6000 мм"/>
    <n v="11200"/>
    <n v="31800"/>
    <n v="356160000"/>
    <n v="5511710000"/>
    <n v="222297000"/>
  </r>
  <r>
    <x v="2"/>
    <s v="Балка клееная 100x200x6000 мм"/>
    <n v="35000"/>
    <n v="9086"/>
    <n v="318010000"/>
    <n v="5511710000"/>
    <n v="222297000"/>
  </r>
  <r>
    <x v="2"/>
    <s v="Оконный брус клееный"/>
    <n v="13800"/>
    <n v="21806"/>
    <n v="300922800"/>
    <n v="5511710000"/>
    <n v="222297000"/>
  </r>
  <r>
    <x v="2"/>
    <s v="Домокомплект &quot;Гостевой дом&quot;"/>
    <n v="1320000"/>
    <n v="154"/>
    <n v="203280000"/>
    <n v="5511710000"/>
    <n v="222297000"/>
  </r>
  <r>
    <x v="2"/>
    <s v="Стропильная система (КДК)"/>
    <n v="198000"/>
    <n v="1364"/>
    <n v="270072000"/>
    <n v="5511710000"/>
    <n v="222297000"/>
  </r>
  <r>
    <x v="2"/>
    <s v="Панель стеновая СИП"/>
    <n v="9350"/>
    <n v="25440"/>
    <n v="237864000"/>
    <n v="5511710000"/>
    <n v="222297000"/>
  </r>
  <r>
    <x v="2"/>
    <s v="Имитация бруса 21x146 мм"/>
    <n v="8600"/>
    <n v="22714"/>
    <n v="195340400"/>
    <n v="5511710000"/>
    <n v="222297000"/>
  </r>
  <r>
    <x v="2"/>
    <s v="Террасная доска 45x145 мм"/>
    <n v="14100"/>
    <n v="12720"/>
    <n v="179352000"/>
    <n v="5511710000"/>
    <n v="222297000"/>
  </r>
  <r>
    <x v="2"/>
    <s v="Блок-Хаус 28x190 мм"/>
    <n v="10600"/>
    <n v="14537"/>
    <n v="154092200"/>
    <n v="5511710000"/>
    <n v="222297000"/>
  </r>
  <r>
    <x v="2"/>
    <s v="Вагонка евро 12.5x96 мм"/>
    <n v="7600"/>
    <n v="19080"/>
    <n v="145008000"/>
    <n v="5511710000"/>
    <n v="222297000"/>
  </r>
  <r>
    <x v="2"/>
    <s v="Арка клееная (КДК)"/>
    <n v="93500"/>
    <n v="1272"/>
    <n v="118932000"/>
    <n v="5511710000"/>
    <n v="222297000"/>
  </r>
  <r>
    <x v="2"/>
    <s v="Лестница деревянная (КДК)"/>
    <n v="132000"/>
    <n v="772"/>
    <n v="101904000"/>
    <n v="5511710000"/>
    <n v="222297000"/>
  </r>
  <r>
    <x v="2"/>
    <s v="Колонна декоративная (КДК)"/>
    <n v="105000"/>
    <n v="818"/>
    <n v="85890000"/>
    <n v="5511710000"/>
    <n v="222297000"/>
  </r>
  <r>
    <x v="2"/>
    <s v="Ферма клееная 12м (КДК)"/>
    <n v="495000"/>
    <n v="136"/>
    <n v="67320000"/>
    <n v="5511710000"/>
    <n v="222297000"/>
  </r>
  <r>
    <x v="0"/>
    <s v="Целлюлоза беленая хвойная"/>
    <n v="85000"/>
    <n v="633695"/>
    <n v="53864075000"/>
    <n v="183702186000"/>
    <n v="57784864000"/>
  </r>
  <r>
    <x v="0"/>
    <s v="Целлюлоза беленая лиственная"/>
    <n v="78000"/>
    <n v="439623"/>
    <n v="34290594000"/>
    <n v="183702186000"/>
    <n v="57784864000"/>
  </r>
  <r>
    <x v="0"/>
    <s v="Картон гофрированный"/>
    <n v="65000"/>
    <n v="371000"/>
    <n v="24115000000"/>
    <n v="183702186000"/>
    <n v="57784864000"/>
  </r>
  <r>
    <x v="0"/>
    <s v="Бумага газетная"/>
    <n v="55000"/>
    <n v="214900"/>
    <n v="11819500000"/>
    <n v="183702186000"/>
    <n v="57784864000"/>
  </r>
  <r>
    <x v="0"/>
    <s v="Бумага офсетная"/>
    <n v="70000"/>
    <n v="146039"/>
    <n v="10222730000"/>
    <n v="183702186000"/>
    <n v="57784864000"/>
  </r>
  <r>
    <x v="0"/>
    <s v="Древесная масса"/>
    <n v="35000"/>
    <n v="273362"/>
    <n v="9567670000"/>
    <n v="183702186000"/>
    <n v="57784864000"/>
  </r>
  <r>
    <x v="0"/>
    <s v="Гофротара (ящики)"/>
    <n v="95000"/>
    <n v="87920"/>
    <n v="8352400000"/>
    <n v="183702186000"/>
    <n v="57784864000"/>
  </r>
  <r>
    <x v="0"/>
    <s v="Целлюлоза сульфатная небеленая"/>
    <n v="60000"/>
    <n v="127002"/>
    <n v="7620120000"/>
    <n v="183702186000"/>
    <n v="57784864000"/>
  </r>
  <r>
    <x v="0"/>
    <s v="Упаковка картонная потребительская"/>
    <n v="110000"/>
    <n v="63401"/>
    <n v="6974110000"/>
    <n v="183702186000"/>
    <n v="57784864000"/>
  </r>
  <r>
    <x v="0"/>
    <s v="Бумага мелованная"/>
    <n v="82000"/>
    <n v="78155"/>
    <n v="6408710000"/>
    <n v="183702186000"/>
    <n v="57784864000"/>
  </r>
  <r>
    <x v="0"/>
    <s v="Крафт-лайнер"/>
    <n v="68000"/>
    <n v="83000"/>
    <n v="5644000000"/>
    <n v="183702186000"/>
    <n v="57784864000"/>
  </r>
  <r>
    <x v="0"/>
    <s v="Целлюлоза техническая"/>
    <n v="45000"/>
    <n v="107463"/>
    <n v="4835835000"/>
    <n v="183702186000"/>
    <n v="57784864000"/>
  </r>
  <r>
    <x v="1"/>
    <s v="Целлюлоза беленая хвойная"/>
    <n v="86000"/>
    <n v="628433"/>
    <n v="54045238000"/>
    <n v="184932603000"/>
    <n v="44345327000"/>
  </r>
  <r>
    <x v="1"/>
    <s v="Целлюлоза беленая лиственная"/>
    <n v="79000"/>
    <n v="433666"/>
    <n v="34259614000"/>
    <n v="184932603000"/>
    <n v="44345327000"/>
  </r>
  <r>
    <x v="1"/>
    <s v="Картон гофрированный"/>
    <n v="66000"/>
    <n v="366506"/>
    <n v="24189396000"/>
    <n v="184932603000"/>
    <n v="44345327000"/>
  </r>
  <r>
    <x v="1"/>
    <s v="Бумага газетная"/>
    <n v="56000"/>
    <n v="209158"/>
    <n v="11712848000"/>
    <n v="184932603000"/>
    <n v="44345327000"/>
  </r>
  <r>
    <x v="1"/>
    <s v="Бумага офсетная"/>
    <n v="71000"/>
    <n v="145835"/>
    <n v="10354285000"/>
    <n v="184932603000"/>
    <n v="44345327000"/>
  </r>
  <r>
    <x v="1"/>
    <s v="Древесная масса"/>
    <n v="36000"/>
    <n v="270562"/>
    <n v="9740232000"/>
    <n v="184932603000"/>
    <n v="44345327000"/>
  </r>
  <r>
    <x v="1"/>
    <s v="Гофротара (ящики)"/>
    <n v="96000"/>
    <n v="88268"/>
    <n v="8473728000"/>
    <n v="184932603000"/>
    <n v="44345327000"/>
  </r>
  <r>
    <x v="1"/>
    <s v="Целлюлоза сульфатная небеленая"/>
    <n v="61000"/>
    <n v="126646"/>
    <n v="7725406000"/>
    <n v="184932603000"/>
    <n v="44345327000"/>
  </r>
  <r>
    <x v="1"/>
    <s v="Упаковка картонная потребительская"/>
    <n v="112000"/>
    <n v="64282"/>
    <n v="7199584000"/>
    <n v="184932603000"/>
    <n v="44345327000"/>
  </r>
  <r>
    <x v="1"/>
    <s v="Бумага мелованная"/>
    <n v="83000"/>
    <n v="78674"/>
    <n v="6529942000"/>
    <n v="184932603000"/>
    <n v="44345327000"/>
  </r>
  <r>
    <x v="1"/>
    <s v="Крафт-лайнер"/>
    <n v="69000"/>
    <n v="83471"/>
    <n v="5759499000"/>
    <n v="184932603000"/>
    <n v="44345327000"/>
  </r>
  <r>
    <x v="1"/>
    <s v="Целлюлоза техническая"/>
    <n v="46000"/>
    <n v="107457"/>
    <n v="4943022000"/>
    <n v="184932603000"/>
    <n v="44345327000"/>
  </r>
  <r>
    <x v="2"/>
    <s v="Целлюлоза беленая хвойная"/>
    <n v="87000"/>
    <n v="686333"/>
    <n v="59710971000"/>
    <n v="207084881000"/>
    <n v="48865950000"/>
  </r>
  <r>
    <x v="2"/>
    <s v="Целлюлоза беленая лиственная"/>
    <n v="81000"/>
    <n v="476620"/>
    <n v="38606220000"/>
    <n v="207084881000"/>
    <n v="48865950000"/>
  </r>
  <r>
    <x v="2"/>
    <s v="Картон гофрированный"/>
    <n v="67500"/>
    <n v="400391"/>
    <n v="27026392500"/>
    <n v="207084881000"/>
    <n v="48865950000"/>
  </r>
  <r>
    <x v="2"/>
    <s v="Бумага газетная"/>
    <n v="58000"/>
    <n v="228778"/>
    <n v="13269124000"/>
    <n v="207084881000"/>
    <n v="48865950000"/>
  </r>
  <r>
    <x v="2"/>
    <s v="Бумага офсетная"/>
    <n v="72500"/>
    <n v="162081"/>
    <n v="11750872500"/>
    <n v="207084881000"/>
    <n v="48865950000"/>
  </r>
  <r>
    <x v="2"/>
    <s v="Древесная масса"/>
    <n v="38000"/>
    <n v="295504"/>
    <n v="11229152000"/>
    <n v="207084881000"/>
    <n v="48865950000"/>
  </r>
  <r>
    <x v="2"/>
    <s v="Гофротара (ящики)"/>
    <n v="98000"/>
    <n v="95320"/>
    <n v="9341360000"/>
    <n v="207084881000"/>
    <n v="48865950000"/>
  </r>
  <r>
    <x v="2"/>
    <s v="Целлюлоза сульфатная небеленая"/>
    <n v="63000"/>
    <n v="138220"/>
    <n v="8707860000"/>
    <n v="207084881000"/>
    <n v="48865950000"/>
  </r>
  <r>
    <x v="2"/>
    <s v="Упаковка картонная потребительская"/>
    <n v="115000"/>
    <n v="71499"/>
    <n v="8222385000"/>
    <n v="207084881000"/>
    <n v="48865950000"/>
  </r>
  <r>
    <x v="2"/>
    <s v="Бумага мелованная"/>
    <n v="85000"/>
    <n v="85800"/>
    <n v="7293000000"/>
    <n v="207084881000"/>
    <n v="48865950000"/>
  </r>
  <r>
    <x v="2"/>
    <s v="Крафт-лайнер"/>
    <n v="71000"/>
    <n v="90658"/>
    <n v="6436718000"/>
    <n v="207084881000"/>
    <n v="48865950000"/>
  </r>
  <r>
    <x v="2"/>
    <s v="Целлюлоза техническая"/>
    <n v="48000"/>
    <n v="114389"/>
    <n v="5490672000"/>
    <n v="207084881000"/>
    <n v="48865950000"/>
  </r>
  <r>
    <x v="0"/>
    <s v="Доска калиброванная 50/45/40/35/30/21/18 х 190/140/120/95 мм."/>
    <n v="29000"/>
    <n v="9723"/>
    <n v="281967000"/>
    <n v="4229891000"/>
    <n v="226651000"/>
  </r>
  <r>
    <x v="0"/>
    <s v="Доска пола 45 х 135 мм."/>
    <n v="31000"/>
    <n v="9096"/>
    <n v="281976000"/>
    <n v="4229891000"/>
    <n v="226651000"/>
  </r>
  <r>
    <x v="0"/>
    <s v="Доска пола 36 х 135/115 мм."/>
    <n v="31000"/>
    <n v="9096"/>
    <n v="281976000"/>
    <n v="4229891000"/>
    <n v="226651000"/>
  </r>
  <r>
    <x v="0"/>
    <s v="Доска пола 28 х 135/115 мм."/>
    <n v="32000"/>
    <n v="8812"/>
    <n v="281984000"/>
    <n v="4229891000"/>
    <n v="226651000"/>
  </r>
  <r>
    <x v="0"/>
    <s v="Доска пола 21 х 115/90 мм."/>
    <n v="32000"/>
    <n v="8812"/>
    <n v="281984000"/>
    <n v="4229891000"/>
    <n v="226651000"/>
  </r>
  <r>
    <x v="0"/>
    <s v="Брус сухой строганный 100х100 / 100х150 / 150х150 мм."/>
    <n v="29000"/>
    <n v="9723"/>
    <n v="281967000"/>
    <n v="4229891000"/>
    <n v="226651000"/>
  </r>
  <r>
    <x v="0"/>
    <s v="Брус сухой строганный 100х200 / 150х200 мм."/>
    <n v="29000"/>
    <n v="9723"/>
    <n v="281967000"/>
    <n v="4229891000"/>
    <n v="226651000"/>
  </r>
  <r>
    <x v="0"/>
    <s v="Блок-Хаус 36/28 х 185/135 мм."/>
    <n v="32000"/>
    <n v="8812"/>
    <n v="281984000"/>
    <n v="4229891000"/>
    <n v="226651000"/>
  </r>
  <r>
    <x v="0"/>
    <s v="Имитация бруса 21 х 135 мм."/>
    <n v="33000"/>
    <n v="8545"/>
    <n v="281985000"/>
    <n v="4229891000"/>
    <n v="226651000"/>
  </r>
  <r>
    <x v="0"/>
    <s v="Имитация бруса 21 х 185 мм."/>
    <n v="35000"/>
    <n v="8056"/>
    <n v="281960000"/>
    <n v="4229891000"/>
    <n v="226651000"/>
  </r>
  <r>
    <x v="0"/>
    <s v="Имитация бруса 19 х 160 мм."/>
    <n v="35000"/>
    <n v="8056"/>
    <n v="281960000"/>
    <n v="4229891000"/>
    <n v="226651000"/>
  </r>
  <r>
    <x v="0"/>
    <s v="Имитация бруса 16 х 135 мм."/>
    <n v="35000"/>
    <n v="8056"/>
    <n v="281960000"/>
    <n v="4229891000"/>
    <n v="226651000"/>
  </r>
  <r>
    <x v="0"/>
    <s v="Вагонка 20 х 90 мм."/>
    <n v="26000"/>
    <n v="10845"/>
    <n v="281970000"/>
    <n v="4229891000"/>
    <n v="226651000"/>
  </r>
  <r>
    <x v="0"/>
    <s v="Вагонка Штиль 12,5 х 110/90 мм."/>
    <n v="36000"/>
    <n v="7833"/>
    <n v="281988000"/>
    <n v="4229891000"/>
    <n v="226651000"/>
  </r>
  <r>
    <x v="0"/>
    <s v="Евровагонка 12,5 х 90 мм."/>
    <n v="32000"/>
    <n v="8812"/>
    <n v="281984000"/>
    <n v="4229891000"/>
    <n v="226651000"/>
  </r>
  <r>
    <x v="1"/>
    <s v="Доска калиброванная 50/45/40/35/30/21/18 х 190/140/120/95 мм."/>
    <n v="29000"/>
    <n v="6479"/>
    <n v="187891000"/>
    <n v="2818701000"/>
    <n v="705874000"/>
  </r>
  <r>
    <x v="1"/>
    <s v="Доска пола 45 х 135 мм."/>
    <n v="31000"/>
    <n v="6061"/>
    <n v="187891000"/>
    <n v="2818701000"/>
    <n v="705874000"/>
  </r>
  <r>
    <x v="1"/>
    <s v="Доска пола 36 х 135/115 мм."/>
    <n v="31000"/>
    <n v="6061"/>
    <n v="187891000"/>
    <n v="2818701000"/>
    <n v="705874000"/>
  </r>
  <r>
    <x v="1"/>
    <s v="Доска пола 28 х 135/115 мм."/>
    <n v="32000"/>
    <n v="5872"/>
    <n v="187904000"/>
    <n v="2818701000"/>
    <n v="705874000"/>
  </r>
  <r>
    <x v="1"/>
    <s v="Доска пола 21 х 115/90 мм."/>
    <n v="32000"/>
    <n v="5872"/>
    <n v="187904000"/>
    <n v="2818701000"/>
    <n v="705874000"/>
  </r>
  <r>
    <x v="1"/>
    <s v="Брус сухой строганный 100х100 / 100х150 / 150х150 мм."/>
    <n v="29000"/>
    <n v="6479"/>
    <n v="187891000"/>
    <n v="2818701000"/>
    <n v="705874000"/>
  </r>
  <r>
    <x v="1"/>
    <s v="Брус сухой строганный 100х200 / 150х200 мм."/>
    <n v="29000"/>
    <n v="6479"/>
    <n v="187891000"/>
    <n v="2818701000"/>
    <n v="705874000"/>
  </r>
  <r>
    <x v="1"/>
    <s v="Блок-Хаус 36/28 х 185/135 мм."/>
    <n v="32000"/>
    <n v="5872"/>
    <n v="187904000"/>
    <n v="2818701000"/>
    <n v="705874000"/>
  </r>
  <r>
    <x v="1"/>
    <s v="Имитация бруса 21 х 135 мм."/>
    <n v="33000"/>
    <n v="5694"/>
    <n v="187902000"/>
    <n v="2818701000"/>
    <n v="705874000"/>
  </r>
  <r>
    <x v="1"/>
    <s v="Имитация бруса 21 х 185 мм."/>
    <n v="35000"/>
    <n v="5368"/>
    <n v="187880000"/>
    <n v="2818701000"/>
    <n v="705874000"/>
  </r>
  <r>
    <x v="1"/>
    <s v="Имитация бруса 19 х 160 мм."/>
    <n v="35000"/>
    <n v="5368"/>
    <n v="187880000"/>
    <n v="2818701000"/>
    <n v="705874000"/>
  </r>
  <r>
    <x v="1"/>
    <s v="Имитация бруса 16 х 135 мм."/>
    <n v="35000"/>
    <n v="5368"/>
    <n v="187880000"/>
    <n v="2818701000"/>
    <n v="705874000"/>
  </r>
  <r>
    <x v="1"/>
    <s v="Вагонка 20 х 90 мм."/>
    <n v="26000"/>
    <n v="7227"/>
    <n v="187902000"/>
    <n v="2818701000"/>
    <n v="705874000"/>
  </r>
  <r>
    <x v="1"/>
    <s v="Вагонка Штиль 12,5 х 110/90 мм."/>
    <n v="36000"/>
    <n v="5219"/>
    <n v="187884000"/>
    <n v="2818701000"/>
    <n v="705874000"/>
  </r>
  <r>
    <x v="1"/>
    <s v="Евровагонка 12,5 х 90 мм."/>
    <n v="32000"/>
    <n v="5872"/>
    <n v="187904000"/>
    <n v="2818701000"/>
    <n v="705874000"/>
  </r>
  <r>
    <x v="2"/>
    <s v="Доска калиброванная 50/45/40/35/30/21/18 х 190/140/120/95 мм."/>
    <n v="29000"/>
    <n v="4829"/>
    <n v="140041000"/>
    <n v="2100768000"/>
    <n v="490208000"/>
  </r>
  <r>
    <x v="2"/>
    <s v="Доска пола 45 х 135 мм."/>
    <n v="31000"/>
    <n v="4517"/>
    <n v="140027000"/>
    <n v="2100768000"/>
    <n v="490208000"/>
  </r>
  <r>
    <x v="2"/>
    <s v="Доска пола 36 х 135/115 мм."/>
    <n v="31000"/>
    <n v="4517"/>
    <n v="140027000"/>
    <n v="2100768000"/>
    <n v="490208000"/>
  </r>
  <r>
    <x v="2"/>
    <s v="Доска пола 28 х 135/115 мм."/>
    <n v="32000"/>
    <n v="4376"/>
    <n v="140032000"/>
    <n v="2100768000"/>
    <n v="490208000"/>
  </r>
  <r>
    <x v="2"/>
    <s v="Доска пола 21 х 115/90 мм."/>
    <n v="32000"/>
    <n v="4376"/>
    <n v="140032000"/>
    <n v="2100768000"/>
    <n v="490208000"/>
  </r>
  <r>
    <x v="2"/>
    <s v="Брус сухой строганный 100х100 / 100х150 / 150х150 мм."/>
    <n v="29000"/>
    <n v="4829"/>
    <n v="140041000"/>
    <n v="2100768000"/>
    <n v="490208000"/>
  </r>
  <r>
    <x v="2"/>
    <s v="Брус сухой строганный 100х200 / 150х200 мм."/>
    <n v="29000"/>
    <n v="4829"/>
    <n v="140041000"/>
    <n v="2100768000"/>
    <n v="490208000"/>
  </r>
  <r>
    <x v="2"/>
    <s v="Блок-Хаус 36/28 х 185/135 мм."/>
    <n v="32000"/>
    <n v="4376"/>
    <n v="140032000"/>
    <n v="2100768000"/>
    <n v="490208000"/>
  </r>
  <r>
    <x v="2"/>
    <s v="Имитация бруса 21 х 135 мм."/>
    <n v="33000"/>
    <n v="4243"/>
    <n v="140019000"/>
    <n v="2100768000"/>
    <n v="490208000"/>
  </r>
  <r>
    <x v="2"/>
    <s v="Имитация бруса 21 х 185 мм."/>
    <n v="35000"/>
    <n v="4001"/>
    <n v="140035000"/>
    <n v="2100768000"/>
    <n v="490208000"/>
  </r>
  <r>
    <x v="2"/>
    <s v="Имитация бруса 19 х 160 мм."/>
    <n v="35000"/>
    <n v="4001"/>
    <n v="140035000"/>
    <n v="2100768000"/>
    <n v="490208000"/>
  </r>
  <r>
    <x v="2"/>
    <s v="Имитация бруса 16 х 135 мм."/>
    <n v="35000"/>
    <n v="4001"/>
    <n v="140035000"/>
    <n v="2100768000"/>
    <n v="490208000"/>
  </r>
  <r>
    <x v="2"/>
    <s v="Вагонка 20 х 90 мм."/>
    <n v="26000"/>
    <n v="5386"/>
    <n v="140036000"/>
    <n v="2100768000"/>
    <n v="490208000"/>
  </r>
  <r>
    <x v="2"/>
    <s v="Вагонка Штиль 12,5 х 110/90 мм."/>
    <n v="36000"/>
    <n v="3890"/>
    <n v="140040000"/>
    <n v="2100768000"/>
    <n v="490208000"/>
  </r>
  <r>
    <x v="2"/>
    <s v="Евровагонка 12,5 х 90 мм."/>
    <n v="32000"/>
    <n v="4376"/>
    <n v="140032000"/>
    <n v="2100768000"/>
    <n v="490208000"/>
  </r>
  <r>
    <x v="0"/>
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<n v="8250"/>
    <n v="2249"/>
    <n v="18554250"/>
    <n v="371125000"/>
    <n v="31720000"/>
  </r>
  <r>
    <x v="0"/>
    <s v="Монтажные работы"/>
    <n v="1800"/>
    <n v="10309"/>
    <n v="18556200"/>
    <n v="371125000"/>
    <n v="31720000"/>
  </r>
  <r>
    <x v="0"/>
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<n v="9100"/>
    <n v="2039"/>
    <n v="18554900"/>
    <n v="371125000"/>
    <n v="31720000"/>
  </r>
  <r>
    <x v="0"/>
    <s v="Монтажные работы"/>
    <n v="1800"/>
    <n v="10309"/>
    <n v="18556200"/>
    <n v="371125000"/>
    <n v="31720000"/>
  </r>
  <r>
    <x v="0"/>
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<n v="11300"/>
    <n v="1642"/>
    <n v="18554600"/>
    <n v="371125000"/>
    <n v="31720000"/>
  </r>
  <r>
    <x v="0"/>
    <s v="Монтажные работы"/>
    <n v="1800"/>
    <n v="10309"/>
    <n v="18556200"/>
    <n v="371125000"/>
    <n v="31720000"/>
  </r>
  <r>
    <x v="0"/>
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<n v="17100"/>
    <n v="1085"/>
    <n v="18553500"/>
    <n v="371125000"/>
    <n v="31720000"/>
  </r>
  <r>
    <x v="0"/>
    <s v="Монтажные работы"/>
    <n v="2800"/>
    <n v="6627"/>
    <n v="18555600"/>
    <n v="371125000"/>
    <n v="31720000"/>
  </r>
  <r>
    <x v="0"/>
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<n v="24000"/>
    <n v="773"/>
    <n v="18552000"/>
    <n v="371125000"/>
    <n v="31720000"/>
  </r>
  <r>
    <x v="0"/>
    <s v="Монтажные работы"/>
    <n v="2800"/>
    <n v="6627"/>
    <n v="18555600"/>
    <n v="371125000"/>
    <n v="31720000"/>
  </r>
  <r>
    <x v="0"/>
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<n v="13670"/>
    <n v="1357"/>
    <n v="18550190"/>
    <n v="371125000"/>
    <n v="31720000"/>
  </r>
  <r>
    <x v="0"/>
    <s v="Монтажные работы"/>
    <n v="2800"/>
    <n v="6627"/>
    <n v="18555600"/>
    <n v="371125000"/>
    <n v="31720000"/>
  </r>
  <r>
    <x v="0"/>
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<n v="20800"/>
    <n v="892"/>
    <n v="18553600"/>
    <n v="371125000"/>
    <n v="31720000"/>
  </r>
  <r>
    <x v="0"/>
    <s v="Монтажные работы"/>
    <n v="2800"/>
    <n v="6627"/>
    <n v="18555600"/>
    <n v="371125000"/>
    <n v="31720000"/>
  </r>
  <r>
    <x v="0"/>
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<n v="8100"/>
    <n v="2290"/>
    <n v="18549000"/>
    <n v="371125000"/>
    <n v="31720000"/>
  </r>
  <r>
    <x v="0"/>
    <s v="Монтажные работы"/>
    <n v="1800"/>
    <n v="10309"/>
    <n v="18556200"/>
    <n v="371125000"/>
    <n v="31720000"/>
  </r>
  <r>
    <x v="0"/>
    <s v="Доставка продукции г.Н.Новгород-г. Мосвка/Московская обл."/>
    <n v="250"/>
    <n v="74225"/>
    <n v="18556250"/>
    <n v="371125000"/>
    <n v="31720000"/>
  </r>
  <r>
    <x v="0"/>
    <s v="Брус стеновой профилированный ширина 120 240мм высота 140 200мм с зарезкой согласно проекту сосна/ель"/>
    <n v="72000"/>
    <n v="257"/>
    <n v="18504000"/>
    <n v="371125000"/>
    <n v="31720000"/>
  </r>
  <r>
    <x v="0"/>
    <s v="Брус конструкционный прямолинейный ширина 100 200мм высота до 1950 мм сосна/ель"/>
    <n v="83000"/>
    <n v="223"/>
    <n v="18509000"/>
    <n v="371125000"/>
    <n v="31720000"/>
  </r>
  <r>
    <x v="0"/>
    <s v="Брус конструкционный криволинейный ширина 100 200мм высота до 1950 мм сосна/ель"/>
    <n v="105000"/>
    <n v="177"/>
    <n v="18585000"/>
    <n v="371125000"/>
    <n v="31720000"/>
  </r>
  <r>
    <x v="1"/>
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<n v="8250"/>
    <n v="6312"/>
    <n v="52074000"/>
    <n v="1041499000"/>
    <n v="117326000"/>
  </r>
  <r>
    <x v="1"/>
    <s v="Монтажные работы"/>
    <n v="1800"/>
    <n v="28930"/>
    <n v="52074000"/>
    <n v="1041499000"/>
    <n v="117326000"/>
  </r>
  <r>
    <x v="1"/>
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<n v="9100"/>
    <n v="5722"/>
    <n v="52070200"/>
    <n v="1041499000"/>
    <n v="117326000"/>
  </r>
  <r>
    <x v="1"/>
    <s v="Монтажные работы"/>
    <n v="1800"/>
    <n v="28930"/>
    <n v="52074000"/>
    <n v="1041499000"/>
    <n v="117326000"/>
  </r>
  <r>
    <x v="1"/>
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<n v="11300"/>
    <n v="4608"/>
    <n v="52070400"/>
    <n v="1041499000"/>
    <n v="117326000"/>
  </r>
  <r>
    <x v="1"/>
    <s v="Монтажные работы"/>
    <n v="1800"/>
    <n v="28930"/>
    <n v="52074000"/>
    <n v="1041499000"/>
    <n v="117326000"/>
  </r>
  <r>
    <x v="1"/>
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<n v="17100"/>
    <n v="3045"/>
    <n v="52069500"/>
    <n v="1041499000"/>
    <n v="117326000"/>
  </r>
  <r>
    <x v="1"/>
    <s v="Монтажные работы"/>
    <n v="2800"/>
    <n v="18598"/>
    <n v="52074400"/>
    <n v="1041499000"/>
    <n v="117326000"/>
  </r>
  <r>
    <x v="1"/>
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<n v="24000"/>
    <n v="2169"/>
    <n v="52056000"/>
    <n v="1041499000"/>
    <n v="117326000"/>
  </r>
  <r>
    <x v="1"/>
    <s v="Монтажные работы"/>
    <n v="2800"/>
    <n v="18598"/>
    <n v="52074400"/>
    <n v="1041499000"/>
    <n v="117326000"/>
  </r>
  <r>
    <x v="1"/>
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<n v="13670"/>
    <n v="3809"/>
    <n v="52069030"/>
    <n v="1041499000"/>
    <n v="117326000"/>
  </r>
  <r>
    <x v="1"/>
    <s v="Монтажные работы"/>
    <n v="2800"/>
    <n v="18598"/>
    <n v="52074400"/>
    <n v="1041499000"/>
    <n v="117326000"/>
  </r>
  <r>
    <x v="1"/>
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<n v="20800"/>
    <n v="2503"/>
    <n v="52062400"/>
    <n v="1041499000"/>
    <n v="117326000"/>
  </r>
  <r>
    <x v="1"/>
    <s v="Монтажные работы"/>
    <n v="2800"/>
    <n v="18598"/>
    <n v="52074400"/>
    <n v="1041499000"/>
    <n v="117326000"/>
  </r>
  <r>
    <x v="1"/>
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<n v="8100"/>
    <n v="6429"/>
    <n v="52074900"/>
    <n v="1041499000"/>
    <n v="117326000"/>
  </r>
  <r>
    <x v="1"/>
    <s v="Монтажные работы"/>
    <n v="1800"/>
    <n v="28930"/>
    <n v="52074000"/>
    <n v="1041499000"/>
    <n v="117326000"/>
  </r>
  <r>
    <x v="1"/>
    <s v="Доставка продукции г.Н.Новгород-г. Мосвка/Московская обл."/>
    <n v="250"/>
    <n v="208299"/>
    <n v="52074750"/>
    <n v="1041499000"/>
    <n v="117326000"/>
  </r>
  <r>
    <x v="1"/>
    <s v="Брус стеновой профилированный ширина 120 240мм высота 140 200мм с зарезкой согласно проекту сосна/ель"/>
    <n v="72000"/>
    <n v="723"/>
    <n v="52056000"/>
    <n v="1041499000"/>
    <n v="117326000"/>
  </r>
  <r>
    <x v="1"/>
    <s v="Брус конструкционный прямолинейный ширина 100 200мм высота до 1950 мм сосна/ель"/>
    <n v="83000"/>
    <n v="627"/>
    <n v="52041000"/>
    <n v="1041499000"/>
    <n v="117326000"/>
  </r>
  <r>
    <x v="1"/>
    <s v="Брус конструкционный криволинейный ширина 100 200мм высота до 1950 мм сосна/ель"/>
    <n v="105000"/>
    <n v="497"/>
    <n v="52185000"/>
    <n v="1041499000"/>
    <n v="117326000"/>
  </r>
  <r>
    <x v="2"/>
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<n v="8250"/>
    <n v="4537"/>
    <n v="37430250"/>
    <n v="748638000"/>
    <n v="3286000"/>
  </r>
  <r>
    <x v="2"/>
    <s v="Монтажные работы"/>
    <n v="1800"/>
    <n v="20795"/>
    <n v="37431000"/>
    <n v="748638000"/>
    <n v="3286000"/>
  </r>
  <r>
    <x v="2"/>
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<n v="9100"/>
    <n v="4113"/>
    <n v="37428300"/>
    <n v="748638000"/>
    <n v="3286000"/>
  </r>
  <r>
    <x v="2"/>
    <s v="Монтажные работы"/>
    <n v="1800"/>
    <n v="20795"/>
    <n v="37431000"/>
    <n v="748638000"/>
    <n v="3286000"/>
  </r>
  <r>
    <x v="2"/>
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<n v="11300"/>
    <n v="3312"/>
    <n v="37425600"/>
    <n v="748638000"/>
    <n v="3286000"/>
  </r>
  <r>
    <x v="2"/>
    <s v="Монтажные работы"/>
    <n v="1800"/>
    <n v="20795"/>
    <n v="37431000"/>
    <n v="748638000"/>
    <n v="3286000"/>
  </r>
  <r>
    <x v="2"/>
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<n v="17100"/>
    <n v="2189"/>
    <n v="37431900"/>
    <n v="748638000"/>
    <n v="3286000"/>
  </r>
  <r>
    <x v="2"/>
    <s v="Монтажные работы"/>
    <n v="2800"/>
    <n v="13368"/>
    <n v="37430400"/>
    <n v="748638000"/>
    <n v="3286000"/>
  </r>
  <r>
    <x v="2"/>
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<n v="24000"/>
    <n v="1559"/>
    <n v="37416000"/>
    <n v="748638000"/>
    <n v="3286000"/>
  </r>
  <r>
    <x v="2"/>
    <s v="Монтажные работы"/>
    <n v="2800"/>
    <n v="13368"/>
    <n v="37430400"/>
    <n v="748638000"/>
    <n v="3286000"/>
  </r>
  <r>
    <x v="2"/>
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<n v="13670"/>
    <n v="2738"/>
    <n v="37428460"/>
    <n v="748638000"/>
    <n v="3286000"/>
  </r>
  <r>
    <x v="2"/>
    <s v="Монтажные работы"/>
    <n v="2800"/>
    <n v="13368"/>
    <n v="37430400"/>
    <n v="748638000"/>
    <n v="3286000"/>
  </r>
  <r>
    <x v="2"/>
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<n v="20800"/>
    <n v="1799"/>
    <n v="37419200"/>
    <n v="748638000"/>
    <n v="3286000"/>
  </r>
  <r>
    <x v="2"/>
    <s v="Монтажные работы"/>
    <n v="2800"/>
    <n v="13368"/>
    <n v="37430400"/>
    <n v="748638000"/>
    <n v="3286000"/>
  </r>
  <r>
    <x v="2"/>
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<n v="8100"/>
    <n v="4621"/>
    <n v="37430100"/>
    <n v="748638000"/>
    <n v="3286000"/>
  </r>
  <r>
    <x v="2"/>
    <s v="Монтажные работы"/>
    <n v="1800"/>
    <n v="20795"/>
    <n v="37431000"/>
    <n v="748638000"/>
    <n v="3286000"/>
  </r>
  <r>
    <x v="2"/>
    <s v="Доставка продукции г.Н.Новгород-г. Мосвка/Московская обл."/>
    <n v="250"/>
    <n v="149727"/>
    <n v="37431750"/>
    <n v="748638000"/>
    <n v="3286000"/>
  </r>
  <r>
    <x v="2"/>
    <s v="Брус стеновой профилированный ширина 120 240мм высота 140 200мм с зарезкой согласно проекту сосна/ель"/>
    <n v="72000"/>
    <n v="519"/>
    <n v="37368000"/>
    <n v="748638000"/>
    <n v="3286000"/>
  </r>
  <r>
    <x v="2"/>
    <s v="Брус конструкционный прямолинейный ширина 100 200мм высота до 1950 мм сосна/ель"/>
    <n v="83000"/>
    <n v="450"/>
    <n v="37350000"/>
    <n v="748638000"/>
    <n v="3286000"/>
  </r>
  <r>
    <x v="2"/>
    <s v="Брус конструкционный криволинейный ширина 100 200мм высота до 1950 мм сосна/ель"/>
    <n v="105000"/>
    <n v="358"/>
    <n v="37590000"/>
    <n v="748638000"/>
    <n v="3286000"/>
  </r>
  <r>
    <x v="0"/>
    <s v="Имитация бруса"/>
    <n v="950"/>
    <n v="55325"/>
    <n v="52558750"/>
    <n v="893513000"/>
    <n v="324784000"/>
  </r>
  <r>
    <x v="0"/>
    <s v="Сканд. фасадная доска"/>
    <n v="1100"/>
    <n v="47781"/>
    <n v="52559100"/>
    <n v="893513000"/>
    <n v="324784000"/>
  </r>
  <r>
    <x v="0"/>
    <s v="Евровагонка"/>
    <n v="1250"/>
    <n v="42047"/>
    <n v="52558750"/>
    <n v="893513000"/>
    <n v="324784000"/>
  </r>
  <r>
    <x v="0"/>
    <s v="Вагонка Штиль"/>
    <n v="1300"/>
    <n v="40430"/>
    <n v="52559000"/>
    <n v="893513000"/>
    <n v="324784000"/>
  </r>
  <r>
    <x v="0"/>
    <s v="Вагонка Профлайн"/>
    <n v="1350"/>
    <n v="38933"/>
    <n v="52559550"/>
    <n v="893513000"/>
    <n v="324784000"/>
  </r>
  <r>
    <x v="0"/>
    <s v="Блок хаус"/>
    <n v="1450"/>
    <n v="36247"/>
    <n v="52558150"/>
    <n v="893513000"/>
    <n v="324784000"/>
  </r>
  <r>
    <x v="0"/>
    <s v="Доска пола"/>
    <n v="2000"/>
    <n v="26279"/>
    <n v="52558000"/>
    <n v="893513000"/>
    <n v="324784000"/>
  </r>
  <r>
    <x v="0"/>
    <s v="Террасная доска"/>
    <n v="2200"/>
    <n v="23890"/>
    <n v="52558000"/>
    <n v="893513000"/>
    <n v="324784000"/>
  </r>
  <r>
    <x v="0"/>
    <s v="Планкен"/>
    <n v="2300"/>
    <n v="22851"/>
    <n v="52557300"/>
    <n v="893513000"/>
    <n v="324784000"/>
  </r>
  <r>
    <x v="0"/>
    <s v="Доска сухая строганая"/>
    <n v="1800"/>
    <n v="29199"/>
    <n v="52558200"/>
    <n v="893513000"/>
    <n v="324784000"/>
  </r>
  <r>
    <x v="0"/>
    <s v="Доска сухая обрезная"/>
    <n v="1700"/>
    <n v="30917"/>
    <n v="52558900"/>
    <n v="893513000"/>
    <n v="324784000"/>
  </r>
  <r>
    <x v="0"/>
    <s v="Брус е/влажн"/>
    <n v="1900"/>
    <n v="27662"/>
    <n v="52557800"/>
    <n v="893513000"/>
    <n v="324784000"/>
  </r>
  <r>
    <x v="0"/>
    <s v="Брус клееный гладкий"/>
    <n v="4000"/>
    <n v="13139"/>
    <n v="52556000"/>
    <n v="893513000"/>
    <n v="324784000"/>
  </r>
  <r>
    <x v="0"/>
    <s v="Брусок/рейка"/>
    <n v="650"/>
    <n v="80860"/>
    <n v="52559000"/>
    <n v="893513000"/>
    <n v="324784000"/>
  </r>
  <r>
    <x v="0"/>
    <s v="ОСП плита (OSB-3)"/>
    <n v="1800"/>
    <n v="29199"/>
    <n v="52558200"/>
    <n v="893513000"/>
    <n v="324784000"/>
  </r>
  <r>
    <x v="0"/>
    <s v="Мебельный щит хвоя"/>
    <n v="2800"/>
    <n v="18771"/>
    <n v="52558800"/>
    <n v="893513000"/>
    <n v="324784000"/>
  </r>
  <r>
    <x v="0"/>
    <s v="Брикеты топливные"/>
    <n v="4100"/>
    <n v="12824"/>
    <n v="52578400"/>
    <n v="893513000"/>
    <n v="324784000"/>
  </r>
  <r>
    <x v="1"/>
    <s v="Имитация бруса"/>
    <n v="950"/>
    <n v="59339"/>
    <n v="56372050"/>
    <n v="958340000"/>
    <n v="11958000"/>
  </r>
  <r>
    <x v="1"/>
    <s v="Сканд. фасадная доска"/>
    <n v="1100"/>
    <n v="51248"/>
    <n v="56372800"/>
    <n v="958340000"/>
    <n v="11958000"/>
  </r>
  <r>
    <x v="1"/>
    <s v="Евровагонка"/>
    <n v="1250"/>
    <n v="45098"/>
    <n v="56372500"/>
    <n v="958340000"/>
    <n v="11958000"/>
  </r>
  <r>
    <x v="1"/>
    <s v="Вагонка Штиль"/>
    <n v="1300"/>
    <n v="43363"/>
    <n v="56371900"/>
    <n v="958340000"/>
    <n v="11958000"/>
  </r>
  <r>
    <x v="1"/>
    <s v="Вагонка Профлайн"/>
    <n v="1350"/>
    <n v="41757"/>
    <n v="56371950"/>
    <n v="958340000"/>
    <n v="11958000"/>
  </r>
  <r>
    <x v="1"/>
    <s v="Блок хаус"/>
    <n v="1450"/>
    <n v="38877"/>
    <n v="56371650"/>
    <n v="958340000"/>
    <n v="11958000"/>
  </r>
  <r>
    <x v="1"/>
    <s v="Доска пола"/>
    <n v="2000"/>
    <n v="28186"/>
    <n v="56372000"/>
    <n v="958340000"/>
    <n v="11958000"/>
  </r>
  <r>
    <x v="1"/>
    <s v="Террасная доска"/>
    <n v="2200"/>
    <n v="25624"/>
    <n v="56372800"/>
    <n v="958340000"/>
    <n v="11958000"/>
  </r>
  <r>
    <x v="1"/>
    <s v="Планкен"/>
    <n v="2300"/>
    <n v="24509"/>
    <n v="56370700"/>
    <n v="958340000"/>
    <n v="11958000"/>
  </r>
  <r>
    <x v="1"/>
    <s v="Доска сухая строганая"/>
    <n v="1800"/>
    <n v="31318"/>
    <n v="56372400"/>
    <n v="958340000"/>
    <n v="11958000"/>
  </r>
  <r>
    <x v="1"/>
    <s v="Доска сухая обрезная"/>
    <n v="1700"/>
    <n v="33160"/>
    <n v="56372000"/>
    <n v="958340000"/>
    <n v="11958000"/>
  </r>
  <r>
    <x v="1"/>
    <s v="Брус е/влажн"/>
    <n v="1900"/>
    <n v="29669"/>
    <n v="56371100"/>
    <n v="958340000"/>
    <n v="11958000"/>
  </r>
  <r>
    <x v="1"/>
    <s v="Брус клееный гладкий"/>
    <n v="4000"/>
    <n v="14093"/>
    <n v="56372000"/>
    <n v="958340000"/>
    <n v="11958000"/>
  </r>
  <r>
    <x v="1"/>
    <s v="Брусок/рейка"/>
    <n v="650"/>
    <n v="86727"/>
    <n v="56372550"/>
    <n v="958340000"/>
    <n v="11958000"/>
  </r>
  <r>
    <x v="1"/>
    <s v="ОСП плита (OSB-3)"/>
    <n v="1800"/>
    <n v="31318"/>
    <n v="56372400"/>
    <n v="958340000"/>
    <n v="11958000"/>
  </r>
  <r>
    <x v="1"/>
    <s v="Мебельный щит хвоя"/>
    <n v="2800"/>
    <n v="20133"/>
    <n v="56372400"/>
    <n v="958340000"/>
    <n v="11958000"/>
  </r>
  <r>
    <x v="1"/>
    <s v="Брикеты топливные"/>
    <n v="4100"/>
    <n v="13753"/>
    <n v="56387300"/>
    <n v="958340000"/>
    <n v="11958000"/>
  </r>
  <r>
    <x v="2"/>
    <s v="Имитация бруса"/>
    <n v="950"/>
    <n v="226598"/>
    <n v="215268100"/>
    <n v="3659559000"/>
    <n v="106833000"/>
  </r>
  <r>
    <x v="2"/>
    <s v="Сканд. фасадная доска"/>
    <n v="1100"/>
    <n v="195698"/>
    <n v="215267800"/>
    <n v="3659559000"/>
    <n v="106833000"/>
  </r>
  <r>
    <x v="2"/>
    <s v="Евровагонка"/>
    <n v="1250"/>
    <n v="172214"/>
    <n v="215267500"/>
    <n v="3659559000"/>
    <n v="106833000"/>
  </r>
  <r>
    <x v="2"/>
    <s v="Вагонка Штиль"/>
    <n v="1300"/>
    <n v="165590"/>
    <n v="215267000"/>
    <n v="3659559000"/>
    <n v="106833000"/>
  </r>
  <r>
    <x v="2"/>
    <s v="Вагонка Профлайн"/>
    <n v="1350"/>
    <n v="159457"/>
    <n v="215266950"/>
    <n v="3659559000"/>
    <n v="106833000"/>
  </r>
  <r>
    <x v="2"/>
    <s v="Блок хаус"/>
    <n v="1450"/>
    <n v="148460"/>
    <n v="215267000"/>
    <n v="3659559000"/>
    <n v="106833000"/>
  </r>
  <r>
    <x v="2"/>
    <s v="Доска пола"/>
    <n v="2000"/>
    <n v="107634"/>
    <n v="215268000"/>
    <n v="3659559000"/>
    <n v="106833000"/>
  </r>
  <r>
    <x v="2"/>
    <s v="Террасная доска"/>
    <n v="2200"/>
    <n v="97849"/>
    <n v="215267800"/>
    <n v="3659559000"/>
    <n v="106833000"/>
  </r>
  <r>
    <x v="2"/>
    <s v="Планкен"/>
    <n v="2300"/>
    <n v="93594"/>
    <n v="215266200"/>
    <n v="3659559000"/>
    <n v="106833000"/>
  </r>
  <r>
    <x v="2"/>
    <s v="Доска сухая строганая"/>
    <n v="1800"/>
    <n v="119593"/>
    <n v="215267400"/>
    <n v="3659559000"/>
    <n v="106833000"/>
  </r>
  <r>
    <x v="2"/>
    <s v="Доска сухая обрезная"/>
    <n v="1700"/>
    <n v="126628"/>
    <n v="215267600"/>
    <n v="3659559000"/>
    <n v="106833000"/>
  </r>
  <r>
    <x v="2"/>
    <s v="Брус е/влажн"/>
    <n v="1900"/>
    <n v="113299"/>
    <n v="215268100"/>
    <n v="3659559000"/>
    <n v="106833000"/>
  </r>
  <r>
    <x v="2"/>
    <s v="Брус клееный гладкий"/>
    <n v="4000"/>
    <n v="53817"/>
    <n v="215268000"/>
    <n v="3659559000"/>
    <n v="106833000"/>
  </r>
  <r>
    <x v="2"/>
    <s v="Брусок/рейка"/>
    <n v="650"/>
    <n v="331181"/>
    <n v="215267650"/>
    <n v="3659559000"/>
    <n v="106833000"/>
  </r>
  <r>
    <x v="2"/>
    <s v="ОСП плита (OSB-3)"/>
    <n v="1800"/>
    <n v="119593"/>
    <n v="215267400"/>
    <n v="3659559000"/>
    <n v="106833000"/>
  </r>
  <r>
    <x v="2"/>
    <s v="Мебельный щит хвоя"/>
    <n v="2800"/>
    <n v="76881"/>
    <n v="215266800"/>
    <n v="3659559000"/>
    <n v="106833000"/>
  </r>
  <r>
    <x v="2"/>
    <s v="Брикеты топливные"/>
    <n v="4100"/>
    <n v="52507"/>
    <n v="215278700"/>
    <n v="3659559000"/>
    <n v="106833000"/>
  </r>
  <r>
    <x v="0"/>
    <s v="Фанера 1/2 Ш2"/>
    <n v="57480"/>
    <n v="35"/>
    <n v="2011800"/>
    <n v="30538000"/>
    <n v="373000"/>
  </r>
  <r>
    <x v="0"/>
    <s v="Фанера 2/2 Ш2"/>
    <n v="51730"/>
    <n v="39"/>
    <n v="2017470"/>
    <n v="30538000"/>
    <n v="373000"/>
  </r>
  <r>
    <x v="0"/>
    <s v="Фанера 2/3 Ш2"/>
    <n v="45620"/>
    <n v="44"/>
    <n v="2007280"/>
    <n v="30538000"/>
    <n v="373000"/>
  </r>
  <r>
    <x v="0"/>
    <s v="Фанера 2/4 Ш2"/>
    <n v="38960"/>
    <n v="52"/>
    <n v="2025920"/>
    <n v="30538000"/>
    <n v="373000"/>
  </r>
  <r>
    <x v="0"/>
    <s v="Фанера 3/3 Ш2"/>
    <n v="37080"/>
    <n v="54"/>
    <n v="2002320"/>
    <n v="30538000"/>
    <n v="373000"/>
  </r>
  <r>
    <x v="0"/>
    <s v="Фанера 3/4 Ш2"/>
    <n v="36370"/>
    <n v="55"/>
    <n v="2000350"/>
    <n v="30538000"/>
    <n v="373000"/>
  </r>
  <r>
    <x v="0"/>
    <s v="Фанера 4/4 НШ"/>
    <n v="33110"/>
    <n v="61"/>
    <n v="2019710"/>
    <n v="30538000"/>
    <n v="373000"/>
  </r>
  <r>
    <x v="0"/>
    <s v="Фанера 2/2 Ш2"/>
    <n v="58650"/>
    <n v="34"/>
    <n v="1994100"/>
    <n v="30538000"/>
    <n v="373000"/>
  </r>
  <r>
    <x v="0"/>
    <s v="Фанера 2/3 Ш2"/>
    <n v="52030"/>
    <n v="39"/>
    <n v="2029170"/>
    <n v="30538000"/>
    <n v="373000"/>
  </r>
  <r>
    <x v="0"/>
    <s v="Фанера 2/4 Ш2"/>
    <n v="44100"/>
    <n v="46"/>
    <n v="2028600"/>
    <n v="30538000"/>
    <n v="373000"/>
  </r>
  <r>
    <x v="0"/>
    <s v="Фанера 3/3 Ш2"/>
    <n v="43640"/>
    <n v="46"/>
    <n v="2007440"/>
    <n v="30538000"/>
    <n v="373000"/>
  </r>
  <r>
    <x v="0"/>
    <s v="Фанера 3/4 Ш2"/>
    <n v="41350"/>
    <n v="49"/>
    <n v="2026150"/>
    <n v="30538000"/>
    <n v="373000"/>
  </r>
  <r>
    <x v="0"/>
    <s v="Фанера 4/4 НШ"/>
    <n v="37640"/>
    <n v="169"/>
    <n v="6361160"/>
    <n v="30538000"/>
    <n v="373000"/>
  </r>
  <r>
    <x v="1"/>
    <s v="Фанера 1/2 Ш2"/>
    <n v="57480"/>
    <n v="22"/>
    <n v="1264560"/>
    <n v="19535000"/>
    <n v="963000"/>
  </r>
  <r>
    <x v="1"/>
    <s v="Фанера 2/2 Ш2"/>
    <n v="51730"/>
    <n v="25"/>
    <n v="1293250"/>
    <n v="19535000"/>
    <n v="963000"/>
  </r>
  <r>
    <x v="1"/>
    <s v="Фанера 2/3 Ш2"/>
    <n v="45620"/>
    <n v="28"/>
    <n v="1277360"/>
    <n v="19535000"/>
    <n v="963000"/>
  </r>
  <r>
    <x v="1"/>
    <s v="Фанера 2/4 Ш2"/>
    <n v="38960"/>
    <n v="33"/>
    <n v="1285680"/>
    <n v="19535000"/>
    <n v="963000"/>
  </r>
  <r>
    <x v="1"/>
    <s v="Фанера 3/3 Ш2"/>
    <n v="37080"/>
    <n v="35"/>
    <n v="1297800"/>
    <n v="19535000"/>
    <n v="963000"/>
  </r>
  <r>
    <x v="1"/>
    <s v="Фанера 3/4 Ш2"/>
    <n v="36370"/>
    <n v="35"/>
    <n v="1272950"/>
    <n v="19535000"/>
    <n v="963000"/>
  </r>
  <r>
    <x v="1"/>
    <s v="Фанера 4/4 НШ"/>
    <n v="33110"/>
    <n v="39"/>
    <n v="1291290"/>
    <n v="19535000"/>
    <n v="963000"/>
  </r>
  <r>
    <x v="1"/>
    <s v="Фанера 2/2 Ш2"/>
    <n v="58650"/>
    <n v="22"/>
    <n v="1290300"/>
    <n v="19535000"/>
    <n v="963000"/>
  </r>
  <r>
    <x v="1"/>
    <s v="Фанера 2/3 Ш2"/>
    <n v="52030"/>
    <n v="25"/>
    <n v="1300750"/>
    <n v="19535000"/>
    <n v="963000"/>
  </r>
  <r>
    <x v="1"/>
    <s v="Фанера 2/4 Ш2"/>
    <n v="44100"/>
    <n v="29"/>
    <n v="1278900"/>
    <n v="19535000"/>
    <n v="963000"/>
  </r>
  <r>
    <x v="1"/>
    <s v="Фанера 3/3 Ш2"/>
    <n v="43640"/>
    <n v="29"/>
    <n v="1265560"/>
    <n v="19535000"/>
    <n v="963000"/>
  </r>
  <r>
    <x v="1"/>
    <s v="Фанера 3/4 Ш2"/>
    <n v="41350"/>
    <n v="31"/>
    <n v="1281850"/>
    <n v="19535000"/>
    <n v="963000"/>
  </r>
  <r>
    <x v="1"/>
    <s v="Фанера 4/4 НШ"/>
    <n v="37640"/>
    <n v="109"/>
    <n v="4102760"/>
    <n v="19535000"/>
    <n v="963000"/>
  </r>
  <r>
    <x v="2"/>
    <s v="Фанера 1/2 Ш2"/>
    <n v="57480"/>
    <n v="90"/>
    <n v="5173200"/>
    <n v="78213000"/>
    <n v="1027000"/>
  </r>
  <r>
    <x v="2"/>
    <s v="Фанера 2/2 Ш2"/>
    <n v="51730"/>
    <n v="100"/>
    <n v="5173000"/>
    <n v="78213000"/>
    <n v="1027000"/>
  </r>
  <r>
    <x v="2"/>
    <s v="Фанера 2/3 Ш2"/>
    <n v="45620"/>
    <n v="114"/>
    <n v="5200680"/>
    <n v="78213000"/>
    <n v="1027000"/>
  </r>
  <r>
    <x v="2"/>
    <s v="Фанера 2/4 Ш2"/>
    <n v="38960"/>
    <n v="133"/>
    <n v="5181680"/>
    <n v="78213000"/>
    <n v="1027000"/>
  </r>
  <r>
    <x v="2"/>
    <s v="Фанера 3/3 Ш2"/>
    <n v="37080"/>
    <n v="140"/>
    <n v="5191200"/>
    <n v="78213000"/>
    <n v="1027000"/>
  </r>
  <r>
    <x v="2"/>
    <s v="Фанера 3/4 Ш2"/>
    <n v="36370"/>
    <n v="143"/>
    <n v="5200910"/>
    <n v="78213000"/>
    <n v="1027000"/>
  </r>
  <r>
    <x v="2"/>
    <s v="Фанера 4/4 НШ"/>
    <n v="33110"/>
    <n v="157"/>
    <n v="5198270"/>
    <n v="78213000"/>
    <n v="1027000"/>
  </r>
  <r>
    <x v="2"/>
    <s v="Фанера 2/2 Ш2"/>
    <n v="58650"/>
    <n v="88"/>
    <n v="5161200"/>
    <n v="78213000"/>
    <n v="1027000"/>
  </r>
  <r>
    <x v="2"/>
    <s v="Фанера 2/3 Ш2"/>
    <n v="52030"/>
    <n v="100"/>
    <n v="5203000"/>
    <n v="78213000"/>
    <n v="1027000"/>
  </r>
  <r>
    <x v="2"/>
    <s v="Фанера 2/4 Ш2"/>
    <n v="44100"/>
    <n v="118"/>
    <n v="5203800"/>
    <n v="78213000"/>
    <n v="1027000"/>
  </r>
  <r>
    <x v="2"/>
    <s v="Фанера 3/3 Ш2"/>
    <n v="43640"/>
    <n v="119"/>
    <n v="5193160"/>
    <n v="78213000"/>
    <n v="1027000"/>
  </r>
  <r>
    <x v="2"/>
    <s v="Фанера 3/4 Ш2"/>
    <n v="41350"/>
    <n v="126"/>
    <n v="5210100"/>
    <n v="78213000"/>
    <n v="1027000"/>
  </r>
  <r>
    <x v="2"/>
    <s v="Фанера 4/4 НШ"/>
    <n v="37640"/>
    <n v="423"/>
    <n v="15921720"/>
    <n v="78213000"/>
    <n v="1027000"/>
  </r>
  <r>
    <x v="0"/>
    <s v="Отходы лесопиления (от бруса)"/>
    <n v="2000"/>
    <n v="9"/>
    <n v="18000"/>
    <n v="1030000"/>
    <n v="-172000"/>
  </r>
  <r>
    <x v="0"/>
    <s v="Пиломатериал хвойный, обрезной, ГОСТ 8486-86, влаж. естественная, 21-60"/>
    <n v="18000"/>
    <n v="0"/>
    <n v="0"/>
    <n v="1030000"/>
    <n v="-172000"/>
  </r>
  <r>
    <x v="0"/>
    <s v="Отходы лесопиления, участка лесопиления, (дровяная доска)"/>
    <n v="2000"/>
    <n v="107"/>
    <n v="214000"/>
    <n v="1030000"/>
    <n v="-172000"/>
  </r>
  <r>
    <x v="0"/>
    <s v="Пиломатериал хвойный, обрезной, ГОСТ 26002-83, влаж. транспортная, 20+-2% (по заказу)"/>
    <n v="25000"/>
    <n v="4"/>
    <n v="100000"/>
    <n v="1030000"/>
    <n v="-172000"/>
  </r>
  <r>
    <x v="0"/>
    <s v="Отходы лесопиления (отторцовка от доски)"/>
    <n v="500"/>
    <n v="261"/>
    <n v="130500"/>
    <n v="1030000"/>
    <n v="-172000"/>
  </r>
  <r>
    <x v="0"/>
    <s v="Пиломатериал хвойный, обрезной, ГОСТ 8486-86, влаж. естественная, 21-28мм (поддонная доска)"/>
    <n v="7000"/>
    <n v="0"/>
    <n v="0"/>
    <n v="1030000"/>
    <n v="-172000"/>
  </r>
  <r>
    <x v="0"/>
    <s v="Отходы с линии сортировки"/>
    <n v="500"/>
    <n v="744"/>
    <n v="372000"/>
    <n v="1030000"/>
    <n v="-172000"/>
  </r>
  <r>
    <x v="0"/>
    <s v="Пиломатериал хвойный ест. влаж. 21-60мм (торцы)"/>
    <n v="7000"/>
    <n v="27"/>
    <n v="189000"/>
    <n v="1030000"/>
    <n v="-172000"/>
  </r>
  <r>
    <x v="1"/>
    <s v="Отходы лесопиления (от бруса)"/>
    <n v="2000"/>
    <n v="68"/>
    <n v="136000"/>
    <n v="2164000"/>
    <n v="626000"/>
  </r>
  <r>
    <x v="1"/>
    <s v="Пиломатериал хвойный, обрезной, ГОСТ 8486-86, влаж. естественная, 21-60"/>
    <n v="18000"/>
    <n v="7"/>
    <n v="126000"/>
    <n v="2164000"/>
    <n v="626000"/>
  </r>
  <r>
    <x v="1"/>
    <s v="Отходы лесопиления, участка лесопиления, (дровяная доска)"/>
    <n v="2000"/>
    <n v="61"/>
    <n v="122000"/>
    <n v="2164000"/>
    <n v="626000"/>
  </r>
  <r>
    <x v="1"/>
    <s v="Пиломатериал хвойный, обрезной, ГОСТ 26002-83, влаж. транспортная, 20+-2% (по заказу)"/>
    <n v="25000"/>
    <n v="9"/>
    <n v="225000"/>
    <n v="2164000"/>
    <n v="626000"/>
  </r>
  <r>
    <x v="1"/>
    <s v="Отходы лесопиления (отторцовка от доски)"/>
    <n v="500"/>
    <n v="891"/>
    <n v="445500"/>
    <n v="2164000"/>
    <n v="626000"/>
  </r>
  <r>
    <x v="1"/>
    <s v="Пиломатериал хвойный, обрезной, ГОСТ 8486-86, влаж. естественная, 21-28мм (поддонная доска)"/>
    <n v="7000"/>
    <n v="48"/>
    <n v="336000"/>
    <n v="2164000"/>
    <n v="626000"/>
  </r>
  <r>
    <x v="1"/>
    <s v="Отходы с линии сортировки"/>
    <n v="500"/>
    <n v="413"/>
    <n v="206500"/>
    <n v="2164000"/>
    <n v="626000"/>
  </r>
  <r>
    <x v="1"/>
    <s v="Пиломатериал хвойный ест. влаж. 21-60мм (торцы)"/>
    <n v="7000"/>
    <n v="81"/>
    <n v="567000"/>
    <n v="2164000"/>
    <n v="626000"/>
  </r>
  <r>
    <x v="2"/>
    <s v="Отходы лесопиления (от бруса)"/>
    <n v="2000"/>
    <n v="97"/>
    <n v="194000"/>
    <n v="6268000"/>
    <n v="2612000"/>
  </r>
  <r>
    <x v="2"/>
    <s v="Пиломатериал хвойный, обрезной, ГОСТ 8486-86, влаж. естественная, 21-60"/>
    <n v="18000"/>
    <n v="24"/>
    <n v="432000"/>
    <n v="6268000"/>
    <n v="2612000"/>
  </r>
  <r>
    <x v="2"/>
    <s v="Отходы лесопиления, участка лесопиления, (дровяная доска)"/>
    <n v="2000"/>
    <n v="289"/>
    <n v="578000"/>
    <n v="6268000"/>
    <n v="2612000"/>
  </r>
  <r>
    <x v="2"/>
    <s v="Пиломатериал хвойный, обрезной, ГОСТ 26002-83, влаж. транспортная, 20+-2% (по заказу)"/>
    <n v="25000"/>
    <n v="31"/>
    <n v="775000"/>
    <n v="6268000"/>
    <n v="2612000"/>
  </r>
  <r>
    <x v="2"/>
    <s v="Отходы лесопиления (отторцовка от доски)"/>
    <n v="500"/>
    <n v="3905"/>
    <n v="1952500"/>
    <n v="6268000"/>
    <n v="2612000"/>
  </r>
  <r>
    <x v="2"/>
    <s v="Пиломатериал хвойный, обрезной, ГОСТ 8486-86, влаж. естественная, 21-28мм (поддонная доска)"/>
    <n v="7000"/>
    <n v="40"/>
    <n v="280000"/>
    <n v="6268000"/>
    <n v="2612000"/>
  </r>
  <r>
    <x v="2"/>
    <s v="Отходы с линии сортировки"/>
    <n v="500"/>
    <n v="1832"/>
    <n v="916000"/>
    <n v="6268000"/>
    <n v="2612000"/>
  </r>
  <r>
    <x v="2"/>
    <s v="Пиломатериал хвойный ест. влаж. 21-60мм (торцы)"/>
    <n v="7000"/>
    <n v="163"/>
    <n v="1141000"/>
    <n v="6268000"/>
    <n v="2612000"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91">
  <r>
    <x v="0"/>
    <x v="0"/>
    <x v="0"/>
    <n v="4500"/>
    <n v="0"/>
    <n v="0"/>
    <n v="2750148000"/>
    <n v="202576000"/>
    <n v="0"/>
    <n v="0"/>
  </r>
  <r>
    <x v="0"/>
    <x v="0"/>
    <x v="1"/>
    <n v="5000"/>
    <n v="0"/>
    <n v="0"/>
    <n v="2750148000"/>
    <n v="202576000"/>
    <n v="0"/>
    <n v="0"/>
  </r>
  <r>
    <x v="0"/>
    <x v="0"/>
    <x v="2"/>
    <n v="8000"/>
    <n v="4"/>
    <n v="32000"/>
    <n v="2750148000"/>
    <n v="202576000"/>
    <n v="1.1635737422131464E-3"/>
    <n v="633050"/>
  </r>
  <r>
    <x v="0"/>
    <x v="0"/>
    <x v="3"/>
    <n v="8200"/>
    <n v="7"/>
    <n v="57400"/>
    <n v="2750148000"/>
    <n v="202576000"/>
    <n v="2.0871604000948312E-3"/>
    <n v="352919.8606271777"/>
  </r>
  <r>
    <x v="0"/>
    <x v="0"/>
    <x v="4"/>
    <n v="9500"/>
    <n v="9"/>
    <n v="85500"/>
    <n v="2750148000"/>
    <n v="202576000"/>
    <n v="3.1089235924757507E-3"/>
    <n v="236930.9941520468"/>
  </r>
  <r>
    <x v="0"/>
    <x v="0"/>
    <x v="5"/>
    <n v="10000"/>
    <n v="9"/>
    <n v="90000"/>
    <n v="2750148000"/>
    <n v="202576000"/>
    <n v="3.2725511499744745E-3"/>
    <n v="225084.44444444444"/>
  </r>
  <r>
    <x v="0"/>
    <x v="0"/>
    <x v="6"/>
    <n v="12500"/>
    <n v="22"/>
    <n v="275000"/>
    <n v="2750148000"/>
    <n v="202576000"/>
    <n v="9.9994618471442257E-3"/>
    <n v="73664"/>
  </r>
  <r>
    <x v="0"/>
    <x v="1"/>
    <x v="0"/>
    <n v="4700"/>
    <n v="22"/>
    <n v="103400"/>
    <n v="1466712000"/>
    <n v="681559000"/>
    <n v="7.0497820976442548E-3"/>
    <n v="659147.96905222442"/>
  </r>
  <r>
    <x v="0"/>
    <x v="1"/>
    <x v="1"/>
    <n v="5200"/>
    <n v="24"/>
    <n v="124800"/>
    <n v="1466712000"/>
    <n v="681559000"/>
    <n v="8.5088279089555411E-3"/>
    <n v="546120.99358974351"/>
  </r>
  <r>
    <x v="0"/>
    <x v="1"/>
    <x v="2"/>
    <n v="8300"/>
    <n v="25"/>
    <n v="207500"/>
    <n v="1466712000"/>
    <n v="681559000"/>
    <n v="1.4147289992854766E-2"/>
    <n v="328462.1686746988"/>
  </r>
  <r>
    <x v="0"/>
    <x v="1"/>
    <x v="3"/>
    <n v="8500"/>
    <n v="25"/>
    <n v="212500"/>
    <n v="1466712000"/>
    <n v="681559000"/>
    <n v="1.4488188546899459E-2"/>
    <n v="320733.64705882355"/>
  </r>
  <r>
    <x v="0"/>
    <x v="1"/>
    <x v="4"/>
    <n v="9800"/>
    <n v="27"/>
    <n v="264600"/>
    <n v="1466712000"/>
    <n v="681559000"/>
    <n v="1.8040351480045163E-2"/>
    <n v="257580.87679516253"/>
  </r>
  <r>
    <x v="0"/>
    <x v="1"/>
    <x v="5"/>
    <n v="10200"/>
    <n v="28"/>
    <n v="285600"/>
    <n v="1466712000"/>
    <n v="681559000"/>
    <n v="1.9472125407032873E-2"/>
    <n v="238641.10644257703"/>
  </r>
  <r>
    <x v="0"/>
    <x v="1"/>
    <x v="6"/>
    <n v="13000"/>
    <n v="29"/>
    <n v="377000"/>
    <n v="1466712000"/>
    <n v="681559000"/>
    <n v="2.5703750974969866E-2"/>
    <n v="180784.88063660476"/>
  </r>
  <r>
    <x v="0"/>
    <x v="2"/>
    <x v="0"/>
    <n v="4800"/>
    <n v="29"/>
    <n v="139200"/>
    <n v="1156276000"/>
    <n v="717073000"/>
    <n v="1.2038648212018584E-2"/>
    <n v="515138.64942528732"/>
  </r>
  <r>
    <x v="0"/>
    <x v="2"/>
    <x v="1"/>
    <n v="5300"/>
    <n v="31"/>
    <n v="164300"/>
    <n v="1156276000"/>
    <n v="717073000"/>
    <n v="1.420941021001906E-2"/>
    <n v="436441.26597687154"/>
  </r>
  <r>
    <x v="0"/>
    <x v="2"/>
    <x v="2"/>
    <n v="8500"/>
    <n v="31"/>
    <n v="263500"/>
    <n v="1156276000"/>
    <n v="717073000"/>
    <n v="2.2788676751917362E-2"/>
    <n v="272133.96584440226"/>
  </r>
  <r>
    <x v="0"/>
    <x v="2"/>
    <x v="3"/>
    <n v="8700"/>
    <n v="33"/>
    <n v="287100"/>
    <n v="1156276000"/>
    <n v="717073000"/>
    <n v="2.4829711937288328E-2"/>
    <n v="249764.19366074537"/>
  </r>
  <r>
    <x v="0"/>
    <x v="2"/>
    <x v="4"/>
    <n v="10000"/>
    <n v="34"/>
    <n v="340000"/>
    <n v="1156276000"/>
    <n v="717073000"/>
    <n v="2.9404744196022403E-2"/>
    <n v="210903.82352941178"/>
  </r>
  <r>
    <x v="0"/>
    <x v="2"/>
    <x v="5"/>
    <n v="10500"/>
    <n v="35"/>
    <n v="367500"/>
    <n v="1156276000"/>
    <n v="717073000"/>
    <n v="3.17830690942301E-2"/>
    <n v="195121.90476190476"/>
  </r>
  <r>
    <x v="0"/>
    <x v="2"/>
    <x v="6"/>
    <n v="13200"/>
    <n v="35"/>
    <n v="462000"/>
    <n v="1156276000"/>
    <n v="717073000"/>
    <n v="3.9955858289889269E-2"/>
    <n v="155210.60606060605"/>
  </r>
  <r>
    <x v="1"/>
    <x v="0"/>
    <x v="7"/>
    <n v="18478"/>
    <n v="35"/>
    <n v="646730"/>
    <n v="1155052000"/>
    <n v="103569000"/>
    <n v="5.5991418568168361E-2"/>
    <n v="16014.256335719696"/>
  </r>
  <r>
    <x v="1"/>
    <x v="0"/>
    <x v="8"/>
    <n v="9788"/>
    <n v="39"/>
    <n v="381732"/>
    <n v="1155052000"/>
    <n v="103569000"/>
    <n v="3.3048901694469168E-2"/>
    <n v="27131.33821634026"/>
  </r>
  <r>
    <x v="1"/>
    <x v="0"/>
    <x v="9"/>
    <n v="11189"/>
    <n v="39"/>
    <n v="436371"/>
    <n v="1155052000"/>
    <n v="103569000"/>
    <n v="3.7779338073091077E-2"/>
    <n v="23734.161986016486"/>
  </r>
  <r>
    <x v="1"/>
    <x v="0"/>
    <x v="10"/>
    <n v="6492"/>
    <n v="39"/>
    <n v="253188"/>
    <n v="1155052000"/>
    <n v="103569000"/>
    <n v="2.192005208423517E-2"/>
    <n v="40905.967107445846"/>
  </r>
  <r>
    <x v="1"/>
    <x v="0"/>
    <x v="11"/>
    <n v="5193"/>
    <n v="40"/>
    <n v="207720"/>
    <n v="1155052000"/>
    <n v="103569000"/>
    <n v="1.7983605932893065E-2"/>
    <n v="49859.90756787984"/>
  </r>
  <r>
    <x v="1"/>
    <x v="0"/>
    <x v="12"/>
    <n v="8090"/>
    <n v="44"/>
    <n v="355960"/>
    <n v="1155052000"/>
    <n v="103569000"/>
    <n v="3.0817660157291621E-2"/>
    <n v="29095.684908416679"/>
  </r>
  <r>
    <x v="1"/>
    <x v="0"/>
    <x v="13"/>
    <n v="4296"/>
    <n v="46"/>
    <n v="197616"/>
    <n v="1155052000"/>
    <n v="103569000"/>
    <n v="1.7108840121483709E-2"/>
    <n v="52409.217877094976"/>
  </r>
  <r>
    <x v="1"/>
    <x v="1"/>
    <x v="7"/>
    <n v="19200"/>
    <n v="46"/>
    <n v="883200"/>
    <n v="1568018000"/>
    <n v="133969000"/>
    <n v="5.6325884014086572E-2"/>
    <n v="15168.591485507246"/>
  </r>
  <r>
    <x v="1"/>
    <x v="1"/>
    <x v="8"/>
    <n v="10500"/>
    <n v="48"/>
    <n v="504000"/>
    <n v="1568018000"/>
    <n v="133969000"/>
    <n v="3.2142488160212451E-2"/>
    <n v="26581.150793650795"/>
  </r>
  <r>
    <x v="1"/>
    <x v="1"/>
    <x v="9"/>
    <n v="11800"/>
    <n v="49"/>
    <n v="578200"/>
    <n v="1568018000"/>
    <n v="133969000"/>
    <n v="3.6874576694910392E-2"/>
    <n v="23170.010377032166"/>
  </r>
  <r>
    <x v="1"/>
    <x v="1"/>
    <x v="10"/>
    <n v="6900"/>
    <n v="52"/>
    <n v="358800"/>
    <n v="1568018000"/>
    <n v="133969000"/>
    <n v="2.2882390380722668E-2"/>
    <n v="37338.07134894091"/>
  </r>
  <r>
    <x v="1"/>
    <x v="1"/>
    <x v="11"/>
    <n v="5500"/>
    <n v="54"/>
    <n v="297000"/>
    <n v="1568018000"/>
    <n v="133969000"/>
    <n v="1.8941109094410904E-2"/>
    <n v="45107.407407407409"/>
  </r>
  <r>
    <x v="1"/>
    <x v="1"/>
    <x v="12"/>
    <n v="8600"/>
    <n v="55"/>
    <n v="473000"/>
    <n v="1568018000"/>
    <n v="133969000"/>
    <n v="3.0165470039246998E-2"/>
    <n v="28323.255813953489"/>
  </r>
  <r>
    <x v="1"/>
    <x v="1"/>
    <x v="13"/>
    <n v="4600"/>
    <n v="61"/>
    <n v="280600"/>
    <n v="1568018000"/>
    <n v="133969000"/>
    <n v="1.7895202733642087E-2"/>
    <n v="47743.763364219529"/>
  </r>
  <r>
    <x v="1"/>
    <x v="2"/>
    <x v="7"/>
    <n v="20000"/>
    <n v="61"/>
    <n v="1220000"/>
    <n v="1992795000"/>
    <n v="78763000"/>
    <n v="6.1220547020641863E-2"/>
    <n v="6455.9836065573772"/>
  </r>
  <r>
    <x v="1"/>
    <x v="2"/>
    <x v="8"/>
    <n v="11200"/>
    <n v="68"/>
    <n v="761600"/>
    <n v="1992795000"/>
    <n v="78763000"/>
    <n v="3.8217679189279374E-2"/>
    <n v="10341.780462184874"/>
  </r>
  <r>
    <x v="1"/>
    <x v="2"/>
    <x v="9"/>
    <n v="12500"/>
    <n v="71"/>
    <n v="887500"/>
    <n v="1992795000"/>
    <n v="78763000"/>
    <n v="4.453543891870463E-2"/>
    <n v="8874.7042253521122"/>
  </r>
  <r>
    <x v="1"/>
    <x v="2"/>
    <x v="10"/>
    <n v="7400"/>
    <n v="81"/>
    <n v="599400"/>
    <n v="1992795000"/>
    <n v="78763000"/>
    <n v="3.0078357282108798E-2"/>
    <n v="13140.306973640307"/>
  </r>
  <r>
    <x v="1"/>
    <x v="2"/>
    <x v="11"/>
    <n v="5800"/>
    <n v="88"/>
    <n v="510400"/>
    <n v="1992795000"/>
    <n v="78763000"/>
    <n v="2.5612268196176728E-2"/>
    <n v="15431.622257053292"/>
  </r>
  <r>
    <x v="1"/>
    <x v="2"/>
    <x v="12"/>
    <n v="9100"/>
    <n v="90"/>
    <n v="819000"/>
    <n v="1992795000"/>
    <n v="78763000"/>
    <n v="4.1098055745824334E-2"/>
    <n v="9616.9719169719174"/>
  </r>
  <r>
    <x v="1"/>
    <x v="2"/>
    <x v="13"/>
    <n v="4900"/>
    <n v="97"/>
    <n v="475300"/>
    <n v="1992795000"/>
    <n v="78763000"/>
    <n v="2.3850922949927113E-2"/>
    <n v="16571.218177992847"/>
  </r>
  <r>
    <x v="2"/>
    <x v="0"/>
    <x v="14"/>
    <n v="16500"/>
    <n v="100"/>
    <n v="1650000"/>
    <n v="2946303000"/>
    <n v="431400000"/>
    <n v="5.6002386719899482E-2"/>
    <n v="26145.454545454544"/>
  </r>
  <r>
    <x v="2"/>
    <x v="0"/>
    <x v="15"/>
    <n v="24000"/>
    <n v="100"/>
    <n v="2400000"/>
    <n v="2946303000"/>
    <n v="431400000"/>
    <n v="8.1458017047126519E-2"/>
    <n v="17975"/>
  </r>
  <r>
    <x v="2"/>
    <x v="0"/>
    <x v="16"/>
    <n v="11200"/>
    <n v="107"/>
    <n v="1198400"/>
    <n v="2946303000"/>
    <n v="431400000"/>
    <n v="4.0674703178865172E-2"/>
    <n v="35997.997329773025"/>
  </r>
  <r>
    <x v="2"/>
    <x v="0"/>
    <x v="17"/>
    <n v="8500"/>
    <n v="109"/>
    <n v="926500"/>
    <n v="2946303000"/>
    <n v="431400000"/>
    <n v="3.1446188664234466E-2"/>
    <n v="46562.33135456017"/>
  </r>
  <r>
    <x v="2"/>
    <x v="0"/>
    <x v="18"/>
    <n v="13500"/>
    <n v="114"/>
    <n v="1539000"/>
    <n v="2946303000"/>
    <n v="431400000"/>
    <n v="5.2234953431469881E-2"/>
    <n v="28031.189083820664"/>
  </r>
  <r>
    <x v="2"/>
    <x v="0"/>
    <x v="19"/>
    <n v="12800"/>
    <n v="118"/>
    <n v="1510400"/>
    <n v="2946303000"/>
    <n v="431400000"/>
    <n v="5.1264245394991616E-2"/>
    <n v="28561.970338983054"/>
  </r>
  <r>
    <x v="2"/>
    <x v="0"/>
    <x v="10"/>
    <n v="9200"/>
    <n v="119"/>
    <n v="1094800"/>
    <n v="2946303000"/>
    <n v="431400000"/>
    <n v="3.7158432109664213E-2"/>
    <n v="39404.457435147968"/>
  </r>
  <r>
    <x v="2"/>
    <x v="0"/>
    <x v="20"/>
    <n v="7800"/>
    <n v="124"/>
    <n v="967200"/>
    <n v="2946303000"/>
    <n v="431400000"/>
    <n v="3.2827580869991983E-2"/>
    <n v="44602.977667493797"/>
  </r>
  <r>
    <x v="2"/>
    <x v="0"/>
    <x v="21"/>
    <n v="10500"/>
    <n v="126"/>
    <n v="1323000"/>
    <n v="2946303000"/>
    <n v="431400000"/>
    <n v="4.4903731897228495E-2"/>
    <n v="32607.709750566893"/>
  </r>
  <r>
    <x v="2"/>
    <x v="0"/>
    <x v="22"/>
    <n v="12200"/>
    <n v="133"/>
    <n v="1622600"/>
    <n v="2946303000"/>
    <n v="431400000"/>
    <n v="5.5072407691944783E-2"/>
    <n v="26586.959201281894"/>
  </r>
  <r>
    <x v="2"/>
    <x v="0"/>
    <x v="23"/>
    <n v="5600"/>
    <n v="136"/>
    <n v="761600"/>
    <n v="2946303000"/>
    <n v="431400000"/>
    <n v="2.5849344076288149E-2"/>
    <n v="56643.907563025212"/>
  </r>
  <r>
    <x v="2"/>
    <x v="0"/>
    <x v="24"/>
    <n v="3500"/>
    <n v="140"/>
    <n v="490000"/>
    <n v="2946303000"/>
    <n v="431400000"/>
    <n v="1.6631011813788333E-2"/>
    <n v="88040.816326530621"/>
  </r>
  <r>
    <x v="2"/>
    <x v="1"/>
    <x v="14"/>
    <n v="17200"/>
    <n v="143"/>
    <n v="2459600"/>
    <n v="3387456000"/>
    <n v="544435000"/>
    <n v="7.2609061195186009E-2"/>
    <n v="22135.103268824198"/>
  </r>
  <r>
    <x v="2"/>
    <x v="1"/>
    <x v="15"/>
    <n v="25000"/>
    <n v="154"/>
    <n v="3850000"/>
    <n v="3387456000"/>
    <n v="544435000"/>
    <n v="0.11365461278316236"/>
    <n v="14141.168831168832"/>
  </r>
  <r>
    <x v="2"/>
    <x v="1"/>
    <x v="16"/>
    <n v="11800"/>
    <n v="157"/>
    <n v="1852600"/>
    <n v="3387456000"/>
    <n v="544435000"/>
    <n v="5.4690009257684823E-2"/>
    <n v="29387.617402569362"/>
  </r>
  <r>
    <x v="2"/>
    <x v="1"/>
    <x v="17"/>
    <n v="8900"/>
    <n v="163"/>
    <n v="1450700"/>
    <n v="3387456000"/>
    <n v="544435000"/>
    <n v="4.2825648510268474E-2"/>
    <n v="37529.12387123458"/>
  </r>
  <r>
    <x v="2"/>
    <x v="1"/>
    <x v="18"/>
    <n v="14200"/>
    <n v="163"/>
    <n v="2314600"/>
    <n v="3387456000"/>
    <n v="544435000"/>
    <n v="6.8328562791664299E-2"/>
    <n v="23521.774820703362"/>
  </r>
  <r>
    <x v="2"/>
    <x v="1"/>
    <x v="19"/>
    <n v="13500"/>
    <n v="169"/>
    <n v="2281500"/>
    <n v="3387456000"/>
    <n v="544435000"/>
    <n v="6.7351428328515553E-2"/>
    <n v="23863.028709182556"/>
  </r>
  <r>
    <x v="2"/>
    <x v="1"/>
    <x v="10"/>
    <n v="9700"/>
    <n v="177"/>
    <n v="1716900"/>
    <n v="3387456000"/>
    <n v="544435000"/>
    <n v="5.0684053165561412E-2"/>
    <n v="31710.350049507833"/>
  </r>
  <r>
    <x v="2"/>
    <x v="1"/>
    <x v="20"/>
    <n v="8200"/>
    <n v="223"/>
    <n v="1828600"/>
    <n v="3387456000"/>
    <n v="544435000"/>
    <n v="5.398151297020537E-2"/>
    <n v="29773.323854314775"/>
  </r>
  <r>
    <x v="2"/>
    <x v="1"/>
    <x v="21"/>
    <n v="11100"/>
    <n v="257"/>
    <n v="2852700"/>
    <n v="3387456000"/>
    <n v="544435000"/>
    <n v="8.4213639970526555E-2"/>
    <n v="19084.902022645212"/>
  </r>
  <r>
    <x v="2"/>
    <x v="1"/>
    <x v="22"/>
    <n v="12900"/>
    <n v="261"/>
    <n v="3366900"/>
    <n v="3387456000"/>
    <n v="544435000"/>
    <n v="9.9393172929773843E-2"/>
    <n v="16170.215925628918"/>
  </r>
  <r>
    <x v="2"/>
    <x v="1"/>
    <x v="23"/>
    <n v="5900"/>
    <n v="289"/>
    <n v="1705100"/>
    <n v="3387456000"/>
    <n v="544435000"/>
    <n v="5.033570915755068E-2"/>
    <n v="31929.79883877778"/>
  </r>
  <r>
    <x v="2"/>
    <x v="1"/>
    <x v="24"/>
    <n v="3700"/>
    <n v="306"/>
    <n v="1132200"/>
    <n v="3387456000"/>
    <n v="544435000"/>
    <n v="3.3423312361843226E-2"/>
    <n v="48086.468821762937"/>
  </r>
  <r>
    <x v="2"/>
    <x v="2"/>
    <x v="14"/>
    <n v="18000"/>
    <n v="358"/>
    <n v="6444000"/>
    <n v="4246648000"/>
    <n v="441191000"/>
    <n v="0.15174321017423623"/>
    <n v="6846.5394165114831"/>
  </r>
  <r>
    <x v="2"/>
    <x v="2"/>
    <x v="15"/>
    <n v="26200"/>
    <n v="387"/>
    <n v="10139400"/>
    <n v="4246648000"/>
    <n v="441191000"/>
    <n v="0.23876243098085831"/>
    <n v="4351.2535258496555"/>
  </r>
  <r>
    <x v="2"/>
    <x v="2"/>
    <x v="16"/>
    <n v="12500"/>
    <n v="413"/>
    <n v="5162500"/>
    <n v="4246648000"/>
    <n v="441191000"/>
    <n v="0.12156646842403702"/>
    <n v="8546.0726392251818"/>
  </r>
  <r>
    <x v="2"/>
    <x v="2"/>
    <x v="17"/>
    <n v="9400"/>
    <n v="423"/>
    <n v="3976200"/>
    <n v="4246648000"/>
    <n v="441191000"/>
    <n v="9.3631494769521748E-2"/>
    <n v="11095.794980131785"/>
  </r>
  <r>
    <x v="2"/>
    <x v="2"/>
    <x v="18"/>
    <n v="15000"/>
    <n v="428"/>
    <n v="6420000"/>
    <n v="4246648000"/>
    <n v="441191000"/>
    <n v="0.15117805855347557"/>
    <n v="6872.133956386293"/>
  </r>
  <r>
    <x v="2"/>
    <x v="2"/>
    <x v="19"/>
    <n v="14200"/>
    <n v="450"/>
    <n v="6390000"/>
    <n v="4246648000"/>
    <n v="441191000"/>
    <n v="0.15047161902752476"/>
    <n v="6904.3974960876367"/>
  </r>
  <r>
    <x v="2"/>
    <x v="2"/>
    <x v="10"/>
    <n v="10300"/>
    <n v="458"/>
    <n v="4717400"/>
    <n v="4246648000"/>
    <n v="441191000"/>
    <n v="0.11108526065734668"/>
    <n v="9352.4187052189754"/>
  </r>
  <r>
    <x v="2"/>
    <x v="2"/>
    <x v="20"/>
    <n v="8700"/>
    <n v="497"/>
    <n v="4323900"/>
    <n v="4246648000"/>
    <n v="441191000"/>
    <n v="0.10181912887529175"/>
    <n v="10203.543097666459"/>
  </r>
  <r>
    <x v="2"/>
    <x v="2"/>
    <x v="21"/>
    <n v="11800"/>
    <n v="501"/>
    <n v="5911800"/>
    <n v="4246648000"/>
    <n v="441191000"/>
    <n v="0.1392109729838687"/>
    <n v="7462.8877837545242"/>
  </r>
  <r>
    <x v="2"/>
    <x v="2"/>
    <x v="22"/>
    <n v="13600"/>
    <n v="509"/>
    <n v="6922400"/>
    <n v="4246648000"/>
    <n v="441191000"/>
    <n v="0.163008565814732"/>
    <n v="6373.3820640240383"/>
  </r>
  <r>
    <x v="2"/>
    <x v="2"/>
    <x v="23"/>
    <n v="6300"/>
    <n v="519"/>
    <n v="3269700"/>
    <n v="4246648000"/>
    <n v="441191000"/>
    <n v="7.6994843933379922E-2"/>
    <n v="13493.317429733614"/>
  </r>
  <r>
    <x v="2"/>
    <x v="2"/>
    <x v="24"/>
    <n v="3900"/>
    <n v="540"/>
    <n v="2106000"/>
    <n v="4246648000"/>
    <n v="441191000"/>
    <n v="4.9592054721747603E-2"/>
    <n v="20949.24026590693"/>
  </r>
  <r>
    <x v="3"/>
    <x v="0"/>
    <x v="25"/>
    <n v="18500"/>
    <n v="563"/>
    <n v="10415500"/>
    <n v="3863261000"/>
    <n v="185620000"/>
    <n v="0.26960383986481884"/>
    <n v="1782.1516009793097"/>
  </r>
  <r>
    <x v="3"/>
    <x v="0"/>
    <x v="26"/>
    <n v="26000"/>
    <n v="581"/>
    <n v="15106000"/>
    <n v="3863261000"/>
    <n v="185620000"/>
    <n v="0.3910168119627434"/>
    <n v="1228.7832649278432"/>
  </r>
  <r>
    <x v="3"/>
    <x v="0"/>
    <x v="27"/>
    <n v="850000"/>
    <n v="627"/>
    <n v="532950000"/>
    <n v="3863261000"/>
    <n v="185620000"/>
    <n v="13.795340257880584"/>
    <n v="34.828783187916315"/>
  </r>
  <r>
    <x v="3"/>
    <x v="0"/>
    <x v="28"/>
    <n v="650000"/>
    <n v="723"/>
    <n v="469950000"/>
    <n v="3863261000"/>
    <n v="185620000"/>
    <n v="12.164593590751441"/>
    <n v="39.497818916906056"/>
  </r>
  <r>
    <x v="3"/>
    <x v="0"/>
    <x v="8"/>
    <n v="10200"/>
    <n v="724"/>
    <n v="7384800"/>
    <n v="3863261000"/>
    <n v="185620000"/>
    <n v="0.19115457122881421"/>
    <n v="2513.5413281334631"/>
  </r>
  <r>
    <x v="3"/>
    <x v="0"/>
    <x v="29"/>
    <n v="32000"/>
    <n v="744"/>
    <n v="23808000"/>
    <n v="3863261000"/>
    <n v="185620000"/>
    <n v="0.61626693096842278"/>
    <n v="779.6538978494624"/>
  </r>
  <r>
    <x v="3"/>
    <x v="0"/>
    <x v="30"/>
    <n v="12500"/>
    <n v="772"/>
    <n v="9650000"/>
    <n v="3863261000"/>
    <n v="185620000"/>
    <n v="0.24978897361581315"/>
    <n v="1923.523316062176"/>
  </r>
  <r>
    <x v="3"/>
    <x v="0"/>
    <x v="31"/>
    <n v="1200000"/>
    <n v="773"/>
    <n v="927600000"/>
    <n v="3863261000"/>
    <n v="185620000"/>
    <n v="24.010803308396714"/>
    <n v="20.010780508840018"/>
  </r>
  <r>
    <x v="3"/>
    <x v="0"/>
    <x v="32"/>
    <n v="180000"/>
    <n v="815"/>
    <n v="146700000"/>
    <n v="3863261000"/>
    <n v="185620000"/>
    <n v="3.7973100963150044"/>
    <n v="126.53033401499658"/>
  </r>
  <r>
    <x v="3"/>
    <x v="0"/>
    <x v="33"/>
    <n v="8500"/>
    <n v="818"/>
    <n v="6953000"/>
    <n v="3863261000"/>
    <n v="185620000"/>
    <n v="0.17997748534204652"/>
    <n v="2669.6390047461528"/>
  </r>
  <r>
    <x v="3"/>
    <x v="0"/>
    <x v="10"/>
    <n v="7800"/>
    <n v="821"/>
    <n v="6403800"/>
    <n v="3863261000"/>
    <n v="185620000"/>
    <n v="0.16576151598351754"/>
    <n v="2898.5914613198415"/>
  </r>
  <r>
    <x v="3"/>
    <x v="0"/>
    <x v="34"/>
    <n v="12800"/>
    <n v="891"/>
    <n v="11404800"/>
    <n v="3863261000"/>
    <n v="185620000"/>
    <n v="0.29521173951229285"/>
    <n v="1627.5603254769924"/>
  </r>
  <r>
    <x v="3"/>
    <x v="0"/>
    <x v="21"/>
    <n v="9600"/>
    <n v="892"/>
    <n v="8563200"/>
    <n v="3863261000"/>
    <n v="185620000"/>
    <n v="0.22165729936444883"/>
    <n v="2167.6476083707025"/>
  </r>
  <r>
    <x v="3"/>
    <x v="0"/>
    <x v="20"/>
    <n v="6900"/>
    <n v="931"/>
    <n v="6423900"/>
    <n v="3863261000"/>
    <n v="185620000"/>
    <n v="0.16628180182493493"/>
    <n v="2889.5219414997118"/>
  </r>
  <r>
    <x v="3"/>
    <x v="0"/>
    <x v="35"/>
    <n v="85000"/>
    <n v="968"/>
    <n v="82280000"/>
    <n v="3863261000"/>
    <n v="185620000"/>
    <n v="2.1298069170061251"/>
    <n v="225.59552746718521"/>
  </r>
  <r>
    <x v="3"/>
    <x v="0"/>
    <x v="36"/>
    <n v="120000"/>
    <n v="1021"/>
    <n v="122520000"/>
    <n v="3863261000"/>
    <n v="185620000"/>
    <n v="3.1714139945501998"/>
    <n v="151.50179562520404"/>
  </r>
  <r>
    <x v="3"/>
    <x v="0"/>
    <x v="37"/>
    <n v="95000"/>
    <n v="1085"/>
    <n v="103075000"/>
    <n v="3863261000"/>
    <n v="185620000"/>
    <n v="2.6680827414974035"/>
    <n v="180.08246422507884"/>
  </r>
  <r>
    <x v="3"/>
    <x v="0"/>
    <x v="38"/>
    <n v="450000"/>
    <n v="1134"/>
    <n v="510300000"/>
    <n v="3863261000"/>
    <n v="185620000"/>
    <n v="13.209048003746057"/>
    <n v="36.374681559866744"/>
  </r>
  <r>
    <x v="3"/>
    <x v="1"/>
    <x v="25"/>
    <n v="19200"/>
    <n v="1237"/>
    <n v="23750400"/>
    <n v="4596643000"/>
    <n v="544978000"/>
    <n v="0.5166901149382277"/>
    <n v="2294.6055645378601"/>
  </r>
  <r>
    <x v="3"/>
    <x v="1"/>
    <x v="26"/>
    <n v="27000"/>
    <n v="1272"/>
    <n v="34344000"/>
    <n v="4596643000"/>
    <n v="544978000"/>
    <n v="0.74715395561499998"/>
    <n v="1586.8215699976706"/>
  </r>
  <r>
    <x v="3"/>
    <x v="1"/>
    <x v="27"/>
    <n v="890000"/>
    <n v="1326"/>
    <n v="1180140000"/>
    <n v="4596643000"/>
    <n v="544978000"/>
    <n v="25.673953796281328"/>
    <n v="46.179097395224296"/>
  </r>
  <r>
    <x v="3"/>
    <x v="1"/>
    <x v="28"/>
    <n v="680000"/>
    <n v="1357"/>
    <n v="922760000"/>
    <n v="4596643000"/>
    <n v="544978000"/>
    <n v="20.07465013054092"/>
    <n v="59.05956044908752"/>
  </r>
  <r>
    <x v="3"/>
    <x v="1"/>
    <x v="8"/>
    <n v="10700"/>
    <n v="1364"/>
    <n v="14594800"/>
    <n v="4596643000"/>
    <n v="544978000"/>
    <n v="0.31750997412677034"/>
    <n v="3734.0559651382682"/>
  </r>
  <r>
    <x v="3"/>
    <x v="1"/>
    <x v="29"/>
    <n v="33500"/>
    <n v="1559"/>
    <n v="52226500"/>
    <n v="4596643000"/>
    <n v="544978000"/>
    <n v="1.1361878657968436"/>
    <n v="1043.4894162924952"/>
  </r>
  <r>
    <x v="3"/>
    <x v="1"/>
    <x v="30"/>
    <n v="13100"/>
    <n v="1642"/>
    <n v="21510200"/>
    <n v="4596643000"/>
    <n v="544978000"/>
    <n v="0.46795454856946689"/>
    <n v="2533.5794181365122"/>
  </r>
  <r>
    <x v="3"/>
    <x v="1"/>
    <x v="31"/>
    <n v="1260000"/>
    <n v="1799"/>
    <n v="2266740000"/>
    <n v="4596643000"/>
    <n v="544978000"/>
    <n v="49.312944250836971"/>
    <n v="24.042369217466494"/>
  </r>
  <r>
    <x v="3"/>
    <x v="1"/>
    <x v="32"/>
    <n v="189000"/>
    <n v="1832"/>
    <n v="346248000"/>
    <n v="4596643000"/>
    <n v="544978000"/>
    <n v="7.5326276154141185"/>
    <n v="157.39527737344332"/>
  </r>
  <r>
    <x v="3"/>
    <x v="1"/>
    <x v="33"/>
    <n v="8900"/>
    <n v="2039"/>
    <n v="18147100"/>
    <n v="4596643000"/>
    <n v="544978000"/>
    <n v="0.39479028499711633"/>
    <n v="3003.113445123463"/>
  </r>
  <r>
    <x v="3"/>
    <x v="1"/>
    <x v="10"/>
    <n v="8200"/>
    <n v="2169"/>
    <n v="17785800"/>
    <n v="4596643000"/>
    <n v="544978000"/>
    <n v="0.38693020101843889"/>
    <n v="3064.118566496868"/>
  </r>
  <r>
    <x v="3"/>
    <x v="1"/>
    <x v="34"/>
    <n v="13400"/>
    <n v="2189"/>
    <n v="29332600"/>
    <n v="4596643000"/>
    <n v="544978000"/>
    <n v="0.63813091423458379"/>
    <n v="1857.9259936043854"/>
  </r>
  <r>
    <x v="3"/>
    <x v="1"/>
    <x v="21"/>
    <n v="10100"/>
    <n v="2249"/>
    <n v="22714900"/>
    <n v="4596643000"/>
    <n v="544978000"/>
    <n v="0.49416280533424067"/>
    <n v="2399.2093295590121"/>
  </r>
  <r>
    <x v="3"/>
    <x v="1"/>
    <x v="20"/>
    <n v="7250"/>
    <n v="2290"/>
    <n v="16602500"/>
    <n v="4596643000"/>
    <n v="544978000"/>
    <n v="0.36118750140047856"/>
    <n v="3282.505646739949"/>
  </r>
  <r>
    <x v="3"/>
    <x v="1"/>
    <x v="35"/>
    <n v="89000"/>
    <n v="2503"/>
    <n v="222767000"/>
    <n v="4596643000"/>
    <n v="544978000"/>
    <n v="4.8462976132799529"/>
    <n v="244.6403641472929"/>
  </r>
  <r>
    <x v="3"/>
    <x v="1"/>
    <x v="36"/>
    <n v="126000"/>
    <n v="2738"/>
    <n v="344988000"/>
    <n v="4596643000"/>
    <n v="544978000"/>
    <n v="7.5052163067699631"/>
    <n v="157.97013229445662"/>
  </r>
  <r>
    <x v="3"/>
    <x v="1"/>
    <x v="37"/>
    <n v="100000"/>
    <n v="3045"/>
    <n v="304500000"/>
    <n v="4596643000"/>
    <n v="544978000"/>
    <n v="6.6243995890044109"/>
    <n v="178.97471264367817"/>
  </r>
  <r>
    <x v="3"/>
    <x v="1"/>
    <x v="38"/>
    <n v="472000"/>
    <n v="3312"/>
    <n v="1563264000"/>
    <n v="4596643000"/>
    <n v="544978000"/>
    <n v="34.00881904468109"/>
    <n v="34.861546098419716"/>
  </r>
  <r>
    <x v="3"/>
    <x v="2"/>
    <x v="25"/>
    <n v="20000"/>
    <n v="3809"/>
    <n v="76180000"/>
    <n v="5511710000"/>
    <n v="222297000"/>
    <n v="1.3821481899446815"/>
    <n v="291.8049356786558"/>
  </r>
  <r>
    <x v="3"/>
    <x v="2"/>
    <x v="26"/>
    <n v="28200"/>
    <n v="3890"/>
    <n v="109698000"/>
    <n v="5511710000"/>
    <n v="222297000"/>
    <n v="1.9902716216927234"/>
    <n v="202.64453317289286"/>
  </r>
  <r>
    <x v="3"/>
    <x v="2"/>
    <x v="27"/>
    <n v="930000"/>
    <n v="3905"/>
    <n v="3631650000"/>
    <n v="5511710000"/>
    <n v="222297000"/>
    <n v="65.889714807201401"/>
    <n v="6.1211019784395528"/>
  </r>
  <r>
    <x v="3"/>
    <x v="2"/>
    <x v="28"/>
    <n v="710000"/>
    <n v="4001"/>
    <n v="2840710000"/>
    <n v="5511710000"/>
    <n v="222297000"/>
    <n v="51.539540360432603"/>
    <n v="7.8254028042285206"/>
  </r>
  <r>
    <x v="3"/>
    <x v="2"/>
    <x v="8"/>
    <n v="11200"/>
    <n v="4001"/>
    <n v="44811200"/>
    <n v="5511710000"/>
    <n v="222297000"/>
    <n v="0.81301810146034537"/>
    <n v="496.07464205377221"/>
  </r>
  <r>
    <x v="3"/>
    <x v="2"/>
    <x v="29"/>
    <n v="35000"/>
    <n v="4001"/>
    <n v="140035000"/>
    <n v="5511710000"/>
    <n v="222297000"/>
    <n v="2.5406815670635794"/>
    <n v="158.74388545720711"/>
  </r>
  <r>
    <x v="3"/>
    <x v="2"/>
    <x v="30"/>
    <n v="13800"/>
    <n v="4113"/>
    <n v="56759400"/>
    <n v="5511710000"/>
    <n v="222297000"/>
    <n v="1.0297965604141002"/>
    <n v="391.64790325479129"/>
  </r>
  <r>
    <x v="3"/>
    <x v="2"/>
    <x v="31"/>
    <n v="1320000"/>
    <n v="4243"/>
    <n v="5600760000"/>
    <n v="5511710000"/>
    <n v="222297000"/>
    <n v="101.61565104114693"/>
    <n v="3.9690506288432283"/>
  </r>
  <r>
    <x v="3"/>
    <x v="2"/>
    <x v="32"/>
    <n v="198000"/>
    <n v="4244"/>
    <n v="840312000"/>
    <n v="5511710000"/>
    <n v="222297000"/>
    <n v="15.245940007728997"/>
    <n v="26.454102761831322"/>
  </r>
  <r>
    <x v="3"/>
    <x v="2"/>
    <x v="33"/>
    <n v="9350"/>
    <n v="4376"/>
    <n v="40915600"/>
    <n v="5511710000"/>
    <n v="222297000"/>
    <n v="0.74233949173668434"/>
    <n v="543.30622061023178"/>
  </r>
  <r>
    <x v="3"/>
    <x v="2"/>
    <x v="10"/>
    <n v="8600"/>
    <n v="4376"/>
    <n v="37633600"/>
    <n v="5511710000"/>
    <n v="222297000"/>
    <n v="0.68279354320165608"/>
    <n v="590.68757705879852"/>
  </r>
  <r>
    <x v="3"/>
    <x v="2"/>
    <x v="34"/>
    <n v="14100"/>
    <n v="4376"/>
    <n v="61701600"/>
    <n v="5511710000"/>
    <n v="222297000"/>
    <n v="1.1194638324585293"/>
    <n v="360.27752926990547"/>
  </r>
  <r>
    <x v="3"/>
    <x v="2"/>
    <x v="21"/>
    <n v="10600"/>
    <n v="4376"/>
    <n v="46385600"/>
    <n v="5511710000"/>
    <n v="222297000"/>
    <n v="0.84158273929506455"/>
    <n v="479.23709082128931"/>
  </r>
  <r>
    <x v="3"/>
    <x v="2"/>
    <x v="20"/>
    <n v="7600"/>
    <n v="4394"/>
    <n v="33394400"/>
    <n v="5511710000"/>
    <n v="222297000"/>
    <n v="0.60588093350339545"/>
    <n v="665.67148983063032"/>
  </r>
  <r>
    <x v="3"/>
    <x v="2"/>
    <x v="35"/>
    <n v="93500"/>
    <n v="4517"/>
    <n v="422339500"/>
    <n v="5511710000"/>
    <n v="222297000"/>
    <n v="7.6625856585342849"/>
    <n v="52.634669501668682"/>
  </r>
  <r>
    <x v="3"/>
    <x v="2"/>
    <x v="36"/>
    <n v="132000"/>
    <n v="4517"/>
    <n v="596244000"/>
    <n v="5511710000"/>
    <n v="222297000"/>
    <n v="10.817767988518989"/>
    <n v="37.282890897015314"/>
  </r>
  <r>
    <x v="3"/>
    <x v="2"/>
    <x v="37"/>
    <n v="105000"/>
    <n v="4537"/>
    <n v="476385000"/>
    <n v="5511710000"/>
    <n v="222297000"/>
    <n v="8.6431434164714762"/>
    <n v="46.663308038666209"/>
  </r>
  <r>
    <x v="3"/>
    <x v="2"/>
    <x v="38"/>
    <n v="495000"/>
    <n v="4608"/>
    <n v="2280960000"/>
    <n v="5511710000"/>
    <n v="222297000"/>
    <n v="41.383889936154119"/>
    <n v="9.7457649410774412"/>
  </r>
  <r>
    <x v="4"/>
    <x v="0"/>
    <x v="39"/>
    <n v="85000"/>
    <n v="4621"/>
    <n v="392785000"/>
    <n v="183702186000"/>
    <n v="57784864000"/>
    <n v="0.2138161818063504"/>
    <n v="14711.576053057015"/>
  </r>
  <r>
    <x v="4"/>
    <x v="0"/>
    <x v="40"/>
    <n v="78000"/>
    <n v="4829"/>
    <n v="376662000"/>
    <n v="183702186000"/>
    <n v="57784864000"/>
    <n v="0.20503947623138247"/>
    <n v="15341.304405541308"/>
  </r>
  <r>
    <x v="4"/>
    <x v="0"/>
    <x v="41"/>
    <n v="65000"/>
    <n v="4829"/>
    <n v="313885000"/>
    <n v="183702186000"/>
    <n v="57784864000"/>
    <n v="0.17086623019281871"/>
    <n v="18409.565286649569"/>
  </r>
  <r>
    <x v="4"/>
    <x v="0"/>
    <x v="42"/>
    <n v="55000"/>
    <n v="4829"/>
    <n v="265595000"/>
    <n v="183702186000"/>
    <n v="57784864000"/>
    <n v="0.14457911785546199"/>
    <n v="21756.758975131306"/>
  </r>
  <r>
    <x v="4"/>
    <x v="0"/>
    <x v="43"/>
    <n v="70000"/>
    <n v="5167"/>
    <n v="361690000"/>
    <n v="183702186000"/>
    <n v="57784864000"/>
    <n v="0.19688932825219618"/>
    <n v="15976.35101882828"/>
  </r>
  <r>
    <x v="4"/>
    <x v="0"/>
    <x v="44"/>
    <n v="35000"/>
    <n v="5219"/>
    <n v="182665000"/>
    <n v="183702186000"/>
    <n v="57784864000"/>
    <n v="9.9435398117690324E-2"/>
    <n v="31634.338269509761"/>
  </r>
  <r>
    <x v="4"/>
    <x v="0"/>
    <x v="45"/>
    <n v="95000"/>
    <n v="5368"/>
    <n v="509960000"/>
    <n v="183702186000"/>
    <n v="57784864000"/>
    <n v="0.27760148700680132"/>
    <n v="11331.254216016943"/>
  </r>
  <r>
    <x v="4"/>
    <x v="0"/>
    <x v="46"/>
    <n v="60000"/>
    <n v="5368"/>
    <n v="322080000"/>
    <n v="183702186000"/>
    <n v="57784864000"/>
    <n v="0.17532725495166401"/>
    <n v="17941.152508693493"/>
  </r>
  <r>
    <x v="4"/>
    <x v="0"/>
    <x v="47"/>
    <n v="110000"/>
    <n v="5368"/>
    <n v="590480000"/>
    <n v="183702186000"/>
    <n v="57784864000"/>
    <n v="0.32143330074471732"/>
    <n v="9786.0831865600867"/>
  </r>
  <r>
    <x v="4"/>
    <x v="0"/>
    <x v="48"/>
    <n v="82000"/>
    <n v="5386"/>
    <n v="441652000"/>
    <n v="183702186000"/>
    <n v="57784864000"/>
    <n v="0.24041738948060204"/>
    <n v="13083.799914865096"/>
  </r>
  <r>
    <x v="4"/>
    <x v="0"/>
    <x v="49"/>
    <n v="68000"/>
    <n v="5694"/>
    <n v="387192000"/>
    <n v="183702186000"/>
    <n v="57784864000"/>
    <n v="0.21077158003988042"/>
    <n v="14924.085208372075"/>
  </r>
  <r>
    <x v="4"/>
    <x v="0"/>
    <x v="50"/>
    <n v="45000"/>
    <n v="5722"/>
    <n v="257490000"/>
    <n v="183702186000"/>
    <n v="57784864000"/>
    <n v="0.14016708543686029"/>
    <n v="22441.595401763174"/>
  </r>
  <r>
    <x v="4"/>
    <x v="1"/>
    <x v="39"/>
    <n v="86000"/>
    <n v="5774"/>
    <n v="496564000"/>
    <n v="184932603000"/>
    <n v="44345327000"/>
    <n v="0.2685107936322077"/>
    <n v="8930.4353517371383"/>
  </r>
  <r>
    <x v="4"/>
    <x v="1"/>
    <x v="40"/>
    <n v="79000"/>
    <n v="5795"/>
    <n v="457805000"/>
    <n v="184932603000"/>
    <n v="44345327000"/>
    <n v="0.24755234748953378"/>
    <n v="9686.5099769552544"/>
  </r>
  <r>
    <x v="4"/>
    <x v="1"/>
    <x v="41"/>
    <n v="66000"/>
    <n v="5872"/>
    <n v="387552000"/>
    <n v="184932603000"/>
    <n v="44345327000"/>
    <n v="0.20956391340038621"/>
    <n v="11442.41985591611"/>
  </r>
  <r>
    <x v="4"/>
    <x v="1"/>
    <x v="42"/>
    <n v="56000"/>
    <n v="5872"/>
    <n v="328832000"/>
    <n v="184932603000"/>
    <n v="44345327000"/>
    <n v="0.17781180530941859"/>
    <n v="13485.709115901127"/>
  </r>
  <r>
    <x v="4"/>
    <x v="1"/>
    <x v="43"/>
    <n v="71000"/>
    <n v="5872"/>
    <n v="416912000"/>
    <n v="184932603000"/>
    <n v="44345327000"/>
    <n v="0.22543996744587"/>
    <n v="10636.61564071075"/>
  </r>
  <r>
    <x v="4"/>
    <x v="1"/>
    <x v="44"/>
    <n v="36000"/>
    <n v="5872"/>
    <n v="211392000"/>
    <n v="184932603000"/>
    <n v="44345327000"/>
    <n v="0.11430758912748337"/>
    <n v="20977.769735846199"/>
  </r>
  <r>
    <x v="4"/>
    <x v="1"/>
    <x v="45"/>
    <n v="96000"/>
    <n v="6061"/>
    <n v="581856000"/>
    <n v="184932603000"/>
    <n v="44345327000"/>
    <n v="0.31463137951938092"/>
    <n v="7621.357689875158"/>
  </r>
  <r>
    <x v="4"/>
    <x v="1"/>
    <x v="46"/>
    <n v="61000"/>
    <n v="6061"/>
    <n v="369721000"/>
    <n v="184932603000"/>
    <n v="44345327000"/>
    <n v="0.19992202240293996"/>
    <n v="11994.267839803528"/>
  </r>
  <r>
    <x v="4"/>
    <x v="1"/>
    <x v="47"/>
    <n v="112000"/>
    <n v="6312"/>
    <n v="706944000"/>
    <n v="184932603000"/>
    <n v="44345327000"/>
    <n v="0.38227115637365472"/>
    <n v="6272.8203365471663"/>
  </r>
  <r>
    <x v="4"/>
    <x v="1"/>
    <x v="48"/>
    <n v="83000"/>
    <n v="6429"/>
    <n v="533607000"/>
    <n v="184932603000"/>
    <n v="44345327000"/>
    <n v="0.28854133416377642"/>
    <n v="8310.4844951434297"/>
  </r>
  <r>
    <x v="4"/>
    <x v="1"/>
    <x v="49"/>
    <n v="69000"/>
    <n v="6479"/>
    <n v="447051000"/>
    <n v="184932603000"/>
    <n v="44345327000"/>
    <n v="0.2417372560315933"/>
    <n v="9919.5230521797293"/>
  </r>
  <r>
    <x v="4"/>
    <x v="1"/>
    <x v="50"/>
    <n v="46000"/>
    <n v="6479"/>
    <n v="298034000"/>
    <n v="184932603000"/>
    <n v="44345327000"/>
    <n v="0.16115817068772886"/>
    <n v="14879.284578269593"/>
  </r>
  <r>
    <x v="4"/>
    <x v="2"/>
    <x v="39"/>
    <n v="87000"/>
    <n v="6479"/>
    <n v="563673000"/>
    <n v="207084881000"/>
    <n v="48865950000"/>
    <n v="0.27219418302198506"/>
    <n v="8669.2018244620558"/>
  </r>
  <r>
    <x v="4"/>
    <x v="2"/>
    <x v="40"/>
    <n v="81000"/>
    <n v="6620"/>
    <n v="536220000"/>
    <n v="207084881000"/>
    <n v="48865950000"/>
    <n v="0.25893730020783123"/>
    <n v="9113.0412890231619"/>
  </r>
  <r>
    <x v="4"/>
    <x v="2"/>
    <x v="41"/>
    <n v="67500"/>
    <n v="6627"/>
    <n v="447322500"/>
    <n v="207084881000"/>
    <n v="48865950000"/>
    <n v="0.21600925081536976"/>
    <n v="10924.098385393088"/>
  </r>
  <r>
    <x v="4"/>
    <x v="2"/>
    <x v="42"/>
    <n v="58000"/>
    <n v="6627"/>
    <n v="384366000"/>
    <n v="207084881000"/>
    <n v="48865950000"/>
    <n v="0.18560794884876217"/>
    <n v="12713.390362310922"/>
  </r>
  <r>
    <x v="4"/>
    <x v="2"/>
    <x v="43"/>
    <n v="72500"/>
    <n v="6627"/>
    <n v="480457500"/>
    <n v="207084881000"/>
    <n v="48865950000"/>
    <n v="0.23200993606095269"/>
    <n v="10170.712289848738"/>
  </r>
  <r>
    <x v="4"/>
    <x v="2"/>
    <x v="44"/>
    <n v="38000"/>
    <n v="6627"/>
    <n v="251826000"/>
    <n v="207084881000"/>
    <n v="48865950000"/>
    <n v="0.12160520786643038"/>
    <n v="19404.648447737723"/>
  </r>
  <r>
    <x v="4"/>
    <x v="2"/>
    <x v="45"/>
    <n v="98000"/>
    <n v="6754"/>
    <n v="661892000"/>
    <n v="207084881000"/>
    <n v="48865950000"/>
    <n v="0.31962352674119165"/>
    <n v="7382.7678835822153"/>
  </r>
  <r>
    <x v="4"/>
    <x v="2"/>
    <x v="46"/>
    <n v="63000"/>
    <n v="7164"/>
    <n v="451332000"/>
    <n v="207084881000"/>
    <n v="48865950000"/>
    <n v="0.21794541340755821"/>
    <n v="10827.051926298158"/>
  </r>
  <r>
    <x v="4"/>
    <x v="2"/>
    <x v="47"/>
    <n v="115000"/>
    <n v="7227"/>
    <n v="831105000"/>
    <n v="207084881000"/>
    <n v="48865950000"/>
    <n v="0.40133543114622644"/>
    <n v="5879.636147057231"/>
  </r>
  <r>
    <x v="4"/>
    <x v="2"/>
    <x v="48"/>
    <n v="85000"/>
    <n v="7833"/>
    <n v="665805000"/>
    <n v="207084881000"/>
    <n v="48865950000"/>
    <n v="0.32151309008406076"/>
    <n v="7339.3786469011202"/>
  </r>
  <r>
    <x v="4"/>
    <x v="2"/>
    <x v="49"/>
    <n v="71000"/>
    <n v="8056"/>
    <n v="571976000"/>
    <n v="207084881000"/>
    <n v="48865950000"/>
    <n v="0.2762036500385559"/>
    <n v="8543.3567142677311"/>
  </r>
  <r>
    <x v="4"/>
    <x v="2"/>
    <x v="50"/>
    <n v="48000"/>
    <n v="8056"/>
    <n v="386688000"/>
    <n v="207084881000"/>
    <n v="48865950000"/>
    <n v="0.18672922819508006"/>
    <n v="12637.048473187686"/>
  </r>
  <r>
    <x v="5"/>
    <x v="0"/>
    <x v="51"/>
    <n v="29000"/>
    <n v="8056"/>
    <n v="233624000"/>
    <n v="4229891000"/>
    <n v="226651000"/>
    <n v="5.523168327505366"/>
    <n v="97.0152895250488"/>
  </r>
  <r>
    <x v="5"/>
    <x v="0"/>
    <x v="52"/>
    <n v="31000"/>
    <n v="8545"/>
    <n v="264895000"/>
    <n v="4229891000"/>
    <n v="226651000"/>
    <n v="6.2624545171494965"/>
    <n v="85.562581400177436"/>
  </r>
  <r>
    <x v="5"/>
    <x v="0"/>
    <x v="53"/>
    <n v="31000"/>
    <n v="8545"/>
    <n v="264895000"/>
    <n v="4229891000"/>
    <n v="226651000"/>
    <n v="6.2624545171494965"/>
    <n v="85.562581400177436"/>
  </r>
  <r>
    <x v="5"/>
    <x v="0"/>
    <x v="54"/>
    <n v="32000"/>
    <n v="8657"/>
    <n v="277024000"/>
    <n v="4229891000"/>
    <n v="226651000"/>
    <n v="6.5491994947387528"/>
    <n v="81.81637692041123"/>
  </r>
  <r>
    <x v="5"/>
    <x v="0"/>
    <x v="55"/>
    <n v="32000"/>
    <n v="8812"/>
    <n v="281984000"/>
    <n v="4229891000"/>
    <n v="226651000"/>
    <n v="6.6664601995654253"/>
    <n v="80.377255447117562"/>
  </r>
  <r>
    <x v="5"/>
    <x v="0"/>
    <x v="56"/>
    <n v="29000"/>
    <n v="8812"/>
    <n v="255548000"/>
    <n v="4229891000"/>
    <n v="226651000"/>
    <n v="6.041479555856168"/>
    <n v="88.692143941646975"/>
  </r>
  <r>
    <x v="5"/>
    <x v="0"/>
    <x v="57"/>
    <n v="29000"/>
    <n v="8812"/>
    <n v="255548000"/>
    <n v="4229891000"/>
    <n v="226651000"/>
    <n v="6.041479555856168"/>
    <n v="88.692143941646975"/>
  </r>
  <r>
    <x v="5"/>
    <x v="0"/>
    <x v="58"/>
    <n v="32000"/>
    <n v="8812"/>
    <n v="281984000"/>
    <n v="4229891000"/>
    <n v="226651000"/>
    <n v="6.6664601995654253"/>
    <n v="80.377255447117562"/>
  </r>
  <r>
    <x v="5"/>
    <x v="0"/>
    <x v="59"/>
    <n v="33000"/>
    <n v="9086"/>
    <n v="299838000"/>
    <n v="4229891000"/>
    <n v="226651000"/>
    <n v="7.0885514543991794"/>
    <n v="75.591152555713421"/>
  </r>
  <r>
    <x v="5"/>
    <x v="0"/>
    <x v="60"/>
    <n v="35000"/>
    <n v="9096"/>
    <n v="318360000"/>
    <n v="4229891000"/>
    <n v="226651000"/>
    <n v="7.5264350783507181"/>
    <n v="71.193303178791297"/>
  </r>
  <r>
    <x v="5"/>
    <x v="0"/>
    <x v="61"/>
    <n v="35000"/>
    <n v="9096"/>
    <n v="318360000"/>
    <n v="4229891000"/>
    <n v="226651000"/>
    <n v="7.5264350783507181"/>
    <n v="71.193303178791297"/>
  </r>
  <r>
    <x v="5"/>
    <x v="0"/>
    <x v="62"/>
    <n v="35000"/>
    <n v="9167"/>
    <n v="320845000"/>
    <n v="4229891000"/>
    <n v="226651000"/>
    <n v="7.5851836371197274"/>
    <n v="70.641898736149855"/>
  </r>
  <r>
    <x v="5"/>
    <x v="0"/>
    <x v="63"/>
    <n v="26000"/>
    <n v="9723"/>
    <n v="252798000"/>
    <n v="4229891000"/>
    <n v="226651000"/>
    <n v="5.9764660602365405"/>
    <n v="89.656959311386956"/>
  </r>
  <r>
    <x v="5"/>
    <x v="0"/>
    <x v="64"/>
    <n v="36000"/>
    <n v="9723"/>
    <n v="350028000"/>
    <n v="4229891000"/>
    <n v="226651000"/>
    <n v="8.2751068526352096"/>
    <n v="64.752248391557245"/>
  </r>
  <r>
    <x v="5"/>
    <x v="0"/>
    <x v="65"/>
    <n v="32000"/>
    <n v="9723"/>
    <n v="311136000"/>
    <n v="4229891000"/>
    <n v="226651000"/>
    <n v="7.3556505356757427"/>
    <n v="72.846279440501903"/>
  </r>
  <r>
    <x v="5"/>
    <x v="1"/>
    <x v="51"/>
    <n v="29000"/>
    <n v="10309"/>
    <n v="298961000"/>
    <n v="2818701000"/>
    <n v="705874000"/>
    <n v="10.606339586923195"/>
    <n v="236.10905770317868"/>
  </r>
  <r>
    <x v="5"/>
    <x v="1"/>
    <x v="52"/>
    <n v="31000"/>
    <n v="10309"/>
    <n v="319579000"/>
    <n v="2818701000"/>
    <n v="705874000"/>
    <n v="11.337811282573073"/>
    <n v="220.87621527071553"/>
  </r>
  <r>
    <x v="5"/>
    <x v="1"/>
    <x v="53"/>
    <n v="31000"/>
    <n v="10309"/>
    <n v="319579000"/>
    <n v="2818701000"/>
    <n v="705874000"/>
    <n v="11.337811282573073"/>
    <n v="220.87621527071553"/>
  </r>
  <r>
    <x v="5"/>
    <x v="1"/>
    <x v="54"/>
    <n v="32000"/>
    <n v="10309"/>
    <n v="329888000"/>
    <n v="2818701000"/>
    <n v="705874000"/>
    <n v="11.703547130398009"/>
    <n v="213.97383354350566"/>
  </r>
  <r>
    <x v="5"/>
    <x v="1"/>
    <x v="55"/>
    <n v="32000"/>
    <n v="10391"/>
    <n v="332512000"/>
    <n v="2818701000"/>
    <n v="705874000"/>
    <n v="11.796639657771435"/>
    <n v="212.28527090751612"/>
  </r>
  <r>
    <x v="5"/>
    <x v="1"/>
    <x v="56"/>
    <n v="29000"/>
    <n v="10845"/>
    <n v="314505000"/>
    <n v="2818701000"/>
    <n v="705874000"/>
    <n v="11.157799284138333"/>
    <n v="224.43967504491184"/>
  </r>
  <r>
    <x v="5"/>
    <x v="1"/>
    <x v="57"/>
    <n v="29000"/>
    <n v="11170"/>
    <n v="323930000"/>
    <n v="2818701000"/>
    <n v="705874000"/>
    <n v="11.492173167710943"/>
    <n v="217.90942487574478"/>
  </r>
  <r>
    <x v="5"/>
    <x v="1"/>
    <x v="58"/>
    <n v="32000"/>
    <n v="11204"/>
    <n v="358528000"/>
    <n v="2818701000"/>
    <n v="705874000"/>
    <n v="12.719618008437219"/>
    <n v="196.88113620135667"/>
  </r>
  <r>
    <x v="5"/>
    <x v="1"/>
    <x v="59"/>
    <n v="33000"/>
    <n v="11803"/>
    <n v="389499000"/>
    <n v="2818701000"/>
    <n v="705874000"/>
    <n v="13.818386554657625"/>
    <n v="181.22613921986962"/>
  </r>
  <r>
    <x v="5"/>
    <x v="1"/>
    <x v="60"/>
    <n v="35000"/>
    <n v="11942"/>
    <n v="417970000"/>
    <n v="2818701000"/>
    <n v="705874000"/>
    <n v="14.828461763060361"/>
    <n v="168.8814986721535"/>
  </r>
  <r>
    <x v="5"/>
    <x v="1"/>
    <x v="61"/>
    <n v="35000"/>
    <n v="12307"/>
    <n v="430745000"/>
    <n v="2818701000"/>
    <n v="705874000"/>
    <n v="15.281684719308647"/>
    <n v="163.8728249892628"/>
  </r>
  <r>
    <x v="5"/>
    <x v="1"/>
    <x v="62"/>
    <n v="35000"/>
    <n v="12368"/>
    <n v="432880000"/>
    <n v="2818701000"/>
    <n v="705874000"/>
    <n v="15.357428829804935"/>
    <n v="163.06459064867863"/>
  </r>
  <r>
    <x v="5"/>
    <x v="1"/>
    <x v="63"/>
    <n v="26000"/>
    <n v="12720"/>
    <n v="330720000"/>
    <n v="2818701000"/>
    <n v="705874000"/>
    <n v="11.73306427322373"/>
    <n v="213.43553459119497"/>
  </r>
  <r>
    <x v="5"/>
    <x v="1"/>
    <x v="64"/>
    <n v="36000"/>
    <n v="12824"/>
    <n v="461664000"/>
    <n v="2818701000"/>
    <n v="705874000"/>
    <n v="16.378608444102444"/>
    <n v="152.89777847092259"/>
  </r>
  <r>
    <x v="5"/>
    <x v="1"/>
    <x v="65"/>
    <n v="32000"/>
    <n v="13139"/>
    <n v="420448000"/>
    <n v="2818701000"/>
    <n v="705874000"/>
    <n v="14.916374599505232"/>
    <n v="167.88615952507803"/>
  </r>
  <r>
    <x v="5"/>
    <x v="2"/>
    <x v="51"/>
    <n v="29000"/>
    <n v="13225"/>
    <n v="383525000"/>
    <n v="2100768000"/>
    <n v="490208000"/>
    <n v="18.256418605005408"/>
    <n v="127.81643960628382"/>
  </r>
  <r>
    <x v="5"/>
    <x v="2"/>
    <x v="52"/>
    <n v="31000"/>
    <n v="13368"/>
    <n v="414408000"/>
    <n v="2100768000"/>
    <n v="490208000"/>
    <n v="19.726500022848786"/>
    <n v="118.29115268045018"/>
  </r>
  <r>
    <x v="5"/>
    <x v="2"/>
    <x v="53"/>
    <n v="31000"/>
    <n v="13368"/>
    <n v="414408000"/>
    <n v="2100768000"/>
    <n v="490208000"/>
    <n v="19.726500022848786"/>
    <n v="118.29115268045018"/>
  </r>
  <r>
    <x v="5"/>
    <x v="2"/>
    <x v="54"/>
    <n v="32000"/>
    <n v="13368"/>
    <n v="427776000"/>
    <n v="2100768000"/>
    <n v="490208000"/>
    <n v="20.362838733263263"/>
    <n v="114.59455415918612"/>
  </r>
  <r>
    <x v="5"/>
    <x v="2"/>
    <x v="55"/>
    <n v="32000"/>
    <n v="13368"/>
    <n v="427776000"/>
    <n v="2100768000"/>
    <n v="490208000"/>
    <n v="20.362838733263263"/>
    <n v="114.59455415918612"/>
  </r>
  <r>
    <x v="5"/>
    <x v="2"/>
    <x v="56"/>
    <n v="29000"/>
    <n v="13753"/>
    <n v="398837000"/>
    <n v="2100768000"/>
    <n v="490208000"/>
    <n v="18.985294901674056"/>
    <n v="122.90935896117962"/>
  </r>
  <r>
    <x v="5"/>
    <x v="2"/>
    <x v="57"/>
    <n v="29000"/>
    <n v="14093"/>
    <n v="408697000"/>
    <n v="2100768000"/>
    <n v="490208000"/>
    <n v="19.454647062407656"/>
    <n v="119.94411507791835"/>
  </r>
  <r>
    <x v="5"/>
    <x v="2"/>
    <x v="58"/>
    <n v="32000"/>
    <n v="14169"/>
    <n v="453408000"/>
    <n v="2100768000"/>
    <n v="490208000"/>
    <n v="21.582963944614541"/>
    <n v="108.11631025478157"/>
  </r>
  <r>
    <x v="5"/>
    <x v="2"/>
    <x v="59"/>
    <n v="33000"/>
    <n v="14458"/>
    <n v="477114000"/>
    <n v="2100768000"/>
    <n v="490208000"/>
    <n v="22.711408399214005"/>
    <n v="102.74441747674561"/>
  </r>
  <r>
    <x v="5"/>
    <x v="2"/>
    <x v="60"/>
    <n v="35000"/>
    <n v="14487"/>
    <n v="507045000"/>
    <n v="2100768000"/>
    <n v="490208000"/>
    <n v="24.136173056710689"/>
    <n v="96.679387431095861"/>
  </r>
  <r>
    <x v="5"/>
    <x v="2"/>
    <x v="61"/>
    <n v="35000"/>
    <n v="14526"/>
    <n v="508410000"/>
    <n v="2100768000"/>
    <n v="490208000"/>
    <n v="24.201149293972492"/>
    <n v="96.41981865030192"/>
  </r>
  <r>
    <x v="5"/>
    <x v="2"/>
    <x v="62"/>
    <n v="35000"/>
    <n v="14537"/>
    <n v="508795000"/>
    <n v="2100768000"/>
    <n v="490208000"/>
    <n v="24.219475924995049"/>
    <n v="96.346858754508204"/>
  </r>
  <r>
    <x v="5"/>
    <x v="2"/>
    <x v="63"/>
    <n v="26000"/>
    <n v="14558"/>
    <n v="378508000"/>
    <n v="2100768000"/>
    <n v="490208000"/>
    <n v="18.017601182043901"/>
    <n v="129.51060479567141"/>
  </r>
  <r>
    <x v="5"/>
    <x v="2"/>
    <x v="64"/>
    <n v="36000"/>
    <n v="15114"/>
    <n v="544104000"/>
    <n v="2100768000"/>
    <n v="490208000"/>
    <n v="25.900242197139335"/>
    <n v="90.094540749562583"/>
  </r>
  <r>
    <x v="5"/>
    <x v="2"/>
    <x v="65"/>
    <n v="32000"/>
    <n v="15278"/>
    <n v="488896000"/>
    <n v="2100768000"/>
    <n v="490208000"/>
    <n v="23.272250910143338"/>
    <n v="100.26835973294934"/>
  </r>
  <r>
    <x v="6"/>
    <x v="0"/>
    <x v="66"/>
    <n v="8250"/>
    <n v="15470"/>
    <n v="127627500"/>
    <n v="371125000"/>
    <n v="31720000"/>
    <n v="34.38935668575278"/>
    <n v="24.853577794754266"/>
  </r>
  <r>
    <x v="6"/>
    <x v="0"/>
    <x v="67"/>
    <n v="1800"/>
    <n v="15970"/>
    <n v="28746000"/>
    <n v="371125000"/>
    <n v="31720000"/>
    <n v="7.7456382620410906"/>
    <n v="110.34578723996383"/>
  </r>
  <r>
    <x v="6"/>
    <x v="0"/>
    <x v="68"/>
    <n v="9100"/>
    <n v="16170"/>
    <n v="147147000"/>
    <n v="371125000"/>
    <n v="31720000"/>
    <n v="39.648905355338499"/>
    <n v="21.556674617899109"/>
  </r>
  <r>
    <x v="6"/>
    <x v="0"/>
    <x v="67"/>
    <n v="1800"/>
    <n v="16296"/>
    <n v="29332800"/>
    <n v="371125000"/>
    <n v="31720000"/>
    <n v="7.9037521050858874"/>
    <n v="108.13832978781433"/>
  </r>
  <r>
    <x v="6"/>
    <x v="0"/>
    <x v="69"/>
    <n v="11300"/>
    <n v="16342"/>
    <n v="184664600"/>
    <n v="371125000"/>
    <n v="31720000"/>
    <n v="49.758059952846082"/>
    <n v="17.17708754141292"/>
  </r>
  <r>
    <x v="6"/>
    <x v="0"/>
    <x v="67"/>
    <n v="1800"/>
    <n v="16342"/>
    <n v="29415600"/>
    <n v="371125000"/>
    <n v="31720000"/>
    <n v="7.9260626473560123"/>
    <n v="107.83393845442555"/>
  </r>
  <r>
    <x v="6"/>
    <x v="0"/>
    <x v="70"/>
    <n v="17100"/>
    <n v="16480"/>
    <n v="281808000"/>
    <n v="371125000"/>
    <n v="31720000"/>
    <n v="75.933445604580669"/>
    <n v="11.255890535399988"/>
  </r>
  <r>
    <x v="6"/>
    <x v="0"/>
    <x v="67"/>
    <n v="2800"/>
    <n v="17121"/>
    <n v="47938800"/>
    <n v="371125000"/>
    <n v="31720000"/>
    <n v="12.917157292017514"/>
    <n v="66.167697147196009"/>
  </r>
  <r>
    <x v="6"/>
    <x v="0"/>
    <x v="71"/>
    <n v="24000"/>
    <n v="18333"/>
    <n v="439992000"/>
    <n v="371125000"/>
    <n v="31720000"/>
    <n v="118.5562815762883"/>
    <n v="7.2092219858542892"/>
  </r>
  <r>
    <x v="6"/>
    <x v="0"/>
    <x v="67"/>
    <n v="2800"/>
    <n v="18598"/>
    <n v="52074400"/>
    <n v="371125000"/>
    <n v="31720000"/>
    <n v="14.031498821151903"/>
    <n v="60.912847771649794"/>
  </r>
  <r>
    <x v="6"/>
    <x v="0"/>
    <x v="72"/>
    <n v="13670"/>
    <n v="18598"/>
    <n v="254234660"/>
    <n v="371125000"/>
    <n v="31720000"/>
    <n v="68.503781744695175"/>
    <n v="12.476662308750507"/>
  </r>
  <r>
    <x v="6"/>
    <x v="0"/>
    <x v="67"/>
    <n v="2800"/>
    <n v="18598"/>
    <n v="52074400"/>
    <n v="371125000"/>
    <n v="31720000"/>
    <n v="14.031498821151903"/>
    <n v="60.912847771649794"/>
  </r>
  <r>
    <x v="6"/>
    <x v="0"/>
    <x v="73"/>
    <n v="20800"/>
    <n v="18598"/>
    <n v="386838400"/>
    <n v="371125000"/>
    <n v="31720000"/>
    <n v="104.23399124284272"/>
    <n v="8.1998064307990095"/>
  </r>
  <r>
    <x v="6"/>
    <x v="0"/>
    <x v="67"/>
    <n v="2800"/>
    <n v="18771"/>
    <n v="52558800"/>
    <n v="371125000"/>
    <n v="31720000"/>
    <n v="14.162020882452003"/>
    <n v="60.351453990578172"/>
  </r>
  <r>
    <x v="6"/>
    <x v="0"/>
    <x v="74"/>
    <n v="8100"/>
    <n v="18893"/>
    <n v="153033300"/>
    <n v="371125000"/>
    <n v="31720000"/>
    <n v="41.234974738969349"/>
    <n v="20.727514861144599"/>
  </r>
  <r>
    <x v="6"/>
    <x v="0"/>
    <x v="67"/>
    <n v="1800"/>
    <n v="18893"/>
    <n v="34007400"/>
    <n v="371125000"/>
    <n v="31720000"/>
    <n v="9.1633277197709671"/>
    <n v="93.2738168751507"/>
  </r>
  <r>
    <x v="6"/>
    <x v="0"/>
    <x v="75"/>
    <n v="250"/>
    <n v="18893"/>
    <n v="4723250"/>
    <n v="371125000"/>
    <n v="31720000"/>
    <n v="1.2726844055237454"/>
    <n v="671.57148150108515"/>
  </r>
  <r>
    <x v="6"/>
    <x v="0"/>
    <x v="76"/>
    <n v="72000"/>
    <n v="18908"/>
    <n v="1361376000"/>
    <n v="371125000"/>
    <n v="31720000"/>
    <n v="366.82411586392726"/>
    <n v="2.3299955339303762"/>
  </r>
  <r>
    <x v="6"/>
    <x v="0"/>
    <x v="77"/>
    <n v="83000"/>
    <n v="19066"/>
    <n v="1582478000"/>
    <n v="371125000"/>
    <n v="31720000"/>
    <n v="426.40026945099362"/>
    <n v="2.0044512467155942"/>
  </r>
  <r>
    <x v="6"/>
    <x v="0"/>
    <x v="78"/>
    <n v="105000"/>
    <n v="19080"/>
    <n v="2003400000"/>
    <n v="371125000"/>
    <n v="31720000"/>
    <n v="539.81812057931961"/>
    <n v="1.5833083757612061"/>
  </r>
  <r>
    <x v="6"/>
    <x v="1"/>
    <x v="66"/>
    <n v="8250"/>
    <n v="19365"/>
    <n v="159761250"/>
    <n v="1041499000"/>
    <n v="117326000"/>
    <n v="15.339549053815702"/>
    <n v="73.438333763662968"/>
  </r>
  <r>
    <x v="6"/>
    <x v="1"/>
    <x v="67"/>
    <n v="1800"/>
    <n v="19582"/>
    <n v="35247600"/>
    <n v="1041499000"/>
    <n v="117326000"/>
    <n v="3.3843143392360435"/>
    <n v="332.86237928256111"/>
  </r>
  <r>
    <x v="6"/>
    <x v="1"/>
    <x v="68"/>
    <n v="9100"/>
    <n v="19582"/>
    <n v="178196200"/>
    <n v="1041499000"/>
    <n v="117326000"/>
    <n v="17.10958915947111"/>
    <n v="65.840910187759334"/>
  </r>
  <r>
    <x v="6"/>
    <x v="1"/>
    <x v="67"/>
    <n v="1800"/>
    <n v="19899"/>
    <n v="35818200"/>
    <n v="1041499000"/>
    <n v="117326000"/>
    <n v="3.4391007576579526"/>
    <n v="327.55973220318162"/>
  </r>
  <r>
    <x v="6"/>
    <x v="1"/>
    <x v="69"/>
    <n v="11300"/>
    <n v="19974"/>
    <n v="225706200"/>
    <n v="1041499000"/>
    <n v="117326000"/>
    <n v="21.67128340977764"/>
    <n v="51.981735548248118"/>
  </r>
  <r>
    <x v="6"/>
    <x v="1"/>
    <x v="67"/>
    <n v="1800"/>
    <n v="20133"/>
    <n v="36239400"/>
    <n v="1041499000"/>
    <n v="117326000"/>
    <n v="3.4795424671555137"/>
    <n v="323.75260076049824"/>
  </r>
  <r>
    <x v="6"/>
    <x v="1"/>
    <x v="70"/>
    <n v="17100"/>
    <n v="20782"/>
    <n v="355372200"/>
    <n v="1041499000"/>
    <n v="117326000"/>
    <n v="34.121223352110761"/>
    <n v="33.014962903682395"/>
  </r>
  <r>
    <x v="6"/>
    <x v="1"/>
    <x v="67"/>
    <n v="2800"/>
    <n v="20795"/>
    <n v="58226000"/>
    <n v="1041499000"/>
    <n v="117326000"/>
    <n v="5.5905958623099972"/>
    <n v="201.50104764194688"/>
  </r>
  <r>
    <x v="6"/>
    <x v="1"/>
    <x v="71"/>
    <n v="24000"/>
    <n v="20795"/>
    <n v="499080000"/>
    <n v="1041499000"/>
    <n v="117326000"/>
    <n v="47.91939310551426"/>
    <n v="23.508455558227137"/>
  </r>
  <r>
    <x v="6"/>
    <x v="1"/>
    <x v="67"/>
    <n v="2800"/>
    <n v="20795"/>
    <n v="58226000"/>
    <n v="1041499000"/>
    <n v="117326000"/>
    <n v="5.5905958623099972"/>
    <n v="201.50104764194688"/>
  </r>
  <r>
    <x v="6"/>
    <x v="1"/>
    <x v="72"/>
    <n v="13670"/>
    <n v="20795"/>
    <n v="284267650"/>
    <n v="1041499000"/>
    <n v="117326000"/>
    <n v="27.294087656349163"/>
    <n v="41.273074864480705"/>
  </r>
  <r>
    <x v="6"/>
    <x v="1"/>
    <x v="67"/>
    <n v="2800"/>
    <n v="20882"/>
    <n v="58469600"/>
    <n v="1041499000"/>
    <n v="117326000"/>
    <n v="5.6139852270621482"/>
    <n v="200.66154035601406"/>
  </r>
  <r>
    <x v="6"/>
    <x v="1"/>
    <x v="73"/>
    <n v="20800"/>
    <n v="21486"/>
    <n v="446908800"/>
    <n v="1041499000"/>
    <n v="117326000"/>
    <n v="42.910151618004434"/>
    <n v="26.252783565684989"/>
  </r>
  <r>
    <x v="6"/>
    <x v="1"/>
    <x v="67"/>
    <n v="2800"/>
    <n v="21486"/>
    <n v="60160800"/>
    <n v="1041499000"/>
    <n v="117326000"/>
    <n v="5.7763665639621351"/>
    <n v="195.02067791651706"/>
  </r>
  <r>
    <x v="6"/>
    <x v="1"/>
    <x v="74"/>
    <n v="8100"/>
    <n v="21806"/>
    <n v="176628600"/>
    <n v="1041499000"/>
    <n v="117326000"/>
    <n v="16.959075332765561"/>
    <n v="66.425256158968594"/>
  </r>
  <r>
    <x v="6"/>
    <x v="1"/>
    <x v="67"/>
    <n v="1800"/>
    <n v="22437"/>
    <n v="40386600"/>
    <n v="1041499000"/>
    <n v="117326000"/>
    <n v="3.8777377606699575"/>
    <n v="290.50724745336322"/>
  </r>
  <r>
    <x v="6"/>
    <x v="1"/>
    <x v="75"/>
    <n v="250"/>
    <n v="22698"/>
    <n v="5674500"/>
    <n v="1041499000"/>
    <n v="117326000"/>
    <n v="0.54483969739769311"/>
    <n v="2067.6006696625254"/>
  </r>
  <r>
    <x v="6"/>
    <x v="1"/>
    <x v="76"/>
    <n v="72000"/>
    <n v="22714"/>
    <n v="1635408000"/>
    <n v="1041499000"/>
    <n v="117326000"/>
    <n v="157.02444265428963"/>
    <n v="7.1741119035739098"/>
  </r>
  <r>
    <x v="6"/>
    <x v="1"/>
    <x v="77"/>
    <n v="83000"/>
    <n v="22819"/>
    <n v="1893977000"/>
    <n v="1041499000"/>
    <n v="117326000"/>
    <n v="181.85106274705979"/>
    <n v="6.1946897982393656"/>
  </r>
  <r>
    <x v="6"/>
    <x v="1"/>
    <x v="78"/>
    <n v="105000"/>
    <n v="22851"/>
    <n v="2399355000"/>
    <n v="1041499000"/>
    <n v="117326000"/>
    <n v="230.37516118594451"/>
    <n v="4.8898974932846535"/>
  </r>
  <r>
    <x v="6"/>
    <x v="2"/>
    <x v="66"/>
    <n v="8250"/>
    <n v="23270"/>
    <n v="191977500"/>
    <n v="748638000"/>
    <n v="3286000"/>
    <n v="25.643568720796967"/>
    <n v="1.711658918362829"/>
  </r>
  <r>
    <x v="6"/>
    <x v="2"/>
    <x v="67"/>
    <n v="1800"/>
    <n v="23568"/>
    <n v="42422400"/>
    <n v="748638000"/>
    <n v="3286000"/>
    <n v="5.6666105647856506"/>
    <n v="7.7459078222825672"/>
  </r>
  <r>
    <x v="6"/>
    <x v="2"/>
    <x v="68"/>
    <n v="9100"/>
    <n v="23746"/>
    <n v="216088600"/>
    <n v="748638000"/>
    <n v="3286000"/>
    <n v="28.864230776423316"/>
    <n v="1.5206725389493014"/>
  </r>
  <r>
    <x v="6"/>
    <x v="2"/>
    <x v="67"/>
    <n v="1800"/>
    <n v="23890"/>
    <n v="43002000"/>
    <n v="748638000"/>
    <n v="3286000"/>
    <n v="5.7440311605876273"/>
    <n v="7.641505046276917"/>
  </r>
  <r>
    <x v="6"/>
    <x v="2"/>
    <x v="69"/>
    <n v="11300"/>
    <n v="24064"/>
    <n v="271923200"/>
    <n v="748638000"/>
    <n v="3286000"/>
    <n v="36.322388123498939"/>
    <n v="1.2084294389003956"/>
  </r>
  <r>
    <x v="6"/>
    <x v="2"/>
    <x v="67"/>
    <n v="1800"/>
    <n v="24064"/>
    <n v="43315200"/>
    <n v="748638000"/>
    <n v="3286000"/>
    <n v="5.7858671347166455"/>
    <n v="7.5862514775413707"/>
  </r>
  <r>
    <x v="6"/>
    <x v="2"/>
    <x v="70"/>
    <n v="17100"/>
    <n v="24065"/>
    <n v="411511500"/>
    <n v="748638000"/>
    <n v="3286000"/>
    <n v="54.968021927820921"/>
    <n v="0.79851960394788468"/>
  </r>
  <r>
    <x v="6"/>
    <x v="2"/>
    <x v="67"/>
    <n v="2800"/>
    <n v="24099"/>
    <n v="67477200"/>
    <n v="748638000"/>
    <n v="3286000"/>
    <n v="9.0133282040184977"/>
    <n v="4.8697930560248501"/>
  </r>
  <r>
    <x v="6"/>
    <x v="2"/>
    <x v="71"/>
    <n v="24000"/>
    <n v="24509"/>
    <n v="588216000"/>
    <n v="748638000"/>
    <n v="3286000"/>
    <n v="78.571485818245932"/>
    <n v="0.55863832333700547"/>
  </r>
  <r>
    <x v="6"/>
    <x v="2"/>
    <x v="67"/>
    <n v="2800"/>
    <n v="25440"/>
    <n v="71232000"/>
    <n v="748638000"/>
    <n v="3286000"/>
    <n v="9.5148790203008655"/>
    <n v="4.6130952380952381"/>
  </r>
  <r>
    <x v="6"/>
    <x v="2"/>
    <x v="72"/>
    <n v="13670"/>
    <n v="25624"/>
    <n v="350280080"/>
    <n v="748638000"/>
    <n v="3286000"/>
    <n v="46.78897945335396"/>
    <n v="0.93810644327819037"/>
  </r>
  <r>
    <x v="6"/>
    <x v="2"/>
    <x v="67"/>
    <n v="2800"/>
    <n v="25783"/>
    <n v="72192400"/>
    <n v="748638000"/>
    <n v="3286000"/>
    <n v="9.6431653215572819"/>
    <n v="4.5517256664136392"/>
  </r>
  <r>
    <x v="6"/>
    <x v="2"/>
    <x v="73"/>
    <n v="20800"/>
    <n v="26279"/>
    <n v="546603200"/>
    <n v="748638000"/>
    <n v="3286000"/>
    <n v="73.013018307913839"/>
    <n v="0.60116735503926799"/>
  </r>
  <r>
    <x v="6"/>
    <x v="2"/>
    <x v="67"/>
    <n v="2800"/>
    <n v="27502"/>
    <n v="77005600"/>
    <n v="748638000"/>
    <n v="3286000"/>
    <n v="10.286092877999781"/>
    <n v="4.2672221241052597"/>
  </r>
  <r>
    <x v="6"/>
    <x v="2"/>
    <x v="74"/>
    <n v="8100"/>
    <n v="27541"/>
    <n v="223082100"/>
    <n v="748638000"/>
    <n v="3286000"/>
    <n v="29.798393883292057"/>
    <n v="1.4730002989930613"/>
  </r>
  <r>
    <x v="6"/>
    <x v="2"/>
    <x v="67"/>
    <n v="1800"/>
    <n v="27662"/>
    <n v="49791600"/>
    <n v="748638000"/>
    <n v="3286000"/>
    <n v="6.6509581399822073"/>
    <n v="6.5995067441094486"/>
  </r>
  <r>
    <x v="6"/>
    <x v="2"/>
    <x v="75"/>
    <n v="250"/>
    <n v="27828"/>
    <n v="6957000"/>
    <n v="748638000"/>
    <n v="3286000"/>
    <n v="0.92928758625664198"/>
    <n v="47.233002731062243"/>
  </r>
  <r>
    <x v="6"/>
    <x v="2"/>
    <x v="76"/>
    <n v="72000"/>
    <n v="28186"/>
    <n v="2029392000"/>
    <n v="748638000"/>
    <n v="3286000"/>
    <n v="271.07787742540449"/>
    <n v="0.16192041754377665"/>
  </r>
  <r>
    <x v="6"/>
    <x v="2"/>
    <x v="77"/>
    <n v="83000"/>
    <n v="28519"/>
    <n v="2367077000"/>
    <n v="748638000"/>
    <n v="3286000"/>
    <n v="316.18445764174407"/>
    <n v="0.13882100159817362"/>
  </r>
  <r>
    <x v="6"/>
    <x v="2"/>
    <x v="78"/>
    <n v="105000"/>
    <n v="28749"/>
    <n v="3018645000"/>
    <n v="748638000"/>
    <n v="3286000"/>
    <n v="403.21824433170639"/>
    <n v="0.10885678839346793"/>
  </r>
  <r>
    <x v="7"/>
    <x v="0"/>
    <x v="79"/>
    <n v="950"/>
    <n v="28930"/>
    <n v="27483500"/>
    <n v="893513000"/>
    <n v="324784000"/>
    <n v="3.0758925723520529"/>
    <n v="1181.7417723361291"/>
  </r>
  <r>
    <x v="7"/>
    <x v="0"/>
    <x v="80"/>
    <n v="1100"/>
    <n v="28930"/>
    <n v="31823000"/>
    <n v="893513000"/>
    <n v="324784000"/>
    <n v="3.5615598206181667"/>
    <n v="1020.5951670175659"/>
  </r>
  <r>
    <x v="7"/>
    <x v="0"/>
    <x v="81"/>
    <n v="1250"/>
    <n v="28930"/>
    <n v="36162500"/>
    <n v="893513000"/>
    <n v="324784000"/>
    <n v="4.0472270688842809"/>
    <n v="898.12374697545806"/>
  </r>
  <r>
    <x v="7"/>
    <x v="0"/>
    <x v="82"/>
    <n v="1300"/>
    <n v="28930"/>
    <n v="37609000"/>
    <n v="893513000"/>
    <n v="324784000"/>
    <n v="4.2091161516396518"/>
    <n v="863.58052593794048"/>
  </r>
  <r>
    <x v="7"/>
    <x v="0"/>
    <x v="83"/>
    <n v="1350"/>
    <n v="29199"/>
    <n v="39418650"/>
    <n v="893513000"/>
    <n v="324784000"/>
    <n v="4.4116481797131097"/>
    <n v="823.93486331977374"/>
  </r>
  <r>
    <x v="7"/>
    <x v="0"/>
    <x v="84"/>
    <n v="1450"/>
    <n v="29199"/>
    <n v="42338550"/>
    <n v="893513000"/>
    <n v="324784000"/>
    <n v="4.7384369337659322"/>
    <n v="767.11176929772046"/>
  </r>
  <r>
    <x v="7"/>
    <x v="0"/>
    <x v="85"/>
    <n v="2000"/>
    <n v="29669"/>
    <n v="59338000"/>
    <n v="893513000"/>
    <n v="324784000"/>
    <n v="6.6409778033447751"/>
    <n v="547.34571438201499"/>
  </r>
  <r>
    <x v="7"/>
    <x v="0"/>
    <x v="86"/>
    <n v="2200"/>
    <n v="29958"/>
    <n v="65907600"/>
    <n v="893513000"/>
    <n v="324784000"/>
    <n v="7.3762329143504353"/>
    <n v="492.78687131681329"/>
  </r>
  <r>
    <x v="7"/>
    <x v="0"/>
    <x v="87"/>
    <n v="2300"/>
    <n v="30080"/>
    <n v="69184000"/>
    <n v="893513000"/>
    <n v="324784000"/>
    <n v="7.7429203604200501"/>
    <n v="469.44958371877891"/>
  </r>
  <r>
    <x v="7"/>
    <x v="0"/>
    <x v="88"/>
    <n v="1800"/>
    <n v="30533"/>
    <n v="54959400"/>
    <n v="893513000"/>
    <n v="324784000"/>
    <n v="6.1509345695026258"/>
    <n v="590.95259409673315"/>
  </r>
  <r>
    <x v="7"/>
    <x v="0"/>
    <x v="89"/>
    <n v="1700"/>
    <n v="30917"/>
    <n v="52558900"/>
    <n v="893513000"/>
    <n v="324784000"/>
    <n v="5.8822759154035813"/>
    <n v="617.94291737460264"/>
  </r>
  <r>
    <x v="7"/>
    <x v="0"/>
    <x v="90"/>
    <n v="1900"/>
    <n v="31318"/>
    <n v="59504200"/>
    <n v="893513000"/>
    <n v="324784000"/>
    <n v="6.6595785399876668"/>
    <n v="545.81693393071419"/>
  </r>
  <r>
    <x v="7"/>
    <x v="0"/>
    <x v="91"/>
    <n v="4000"/>
    <n v="31318"/>
    <n v="125272000"/>
    <n v="893513000"/>
    <n v="324784000"/>
    <n v="14.020165347342456"/>
    <n v="259.26304361708918"/>
  </r>
  <r>
    <x v="7"/>
    <x v="0"/>
    <x v="92"/>
    <n v="650"/>
    <n v="31790"/>
    <n v="20663500"/>
    <n v="893513000"/>
    <n v="324784000"/>
    <n v="2.3126132468134206"/>
    <n v="1571.7763205652479"/>
  </r>
  <r>
    <x v="7"/>
    <x v="0"/>
    <x v="93"/>
    <n v="1800"/>
    <n v="31800"/>
    <n v="57240000"/>
    <n v="893513000"/>
    <n v="324784000"/>
    <n v="6.4061742806204274"/>
    <n v="567.40740740740739"/>
  </r>
  <r>
    <x v="7"/>
    <x v="0"/>
    <x v="94"/>
    <n v="2800"/>
    <n v="33062"/>
    <n v="92573600"/>
    <n v="893513000"/>
    <n v="324784000"/>
    <n v="10.360632693648554"/>
    <n v="350.83868403086842"/>
  </r>
  <r>
    <x v="7"/>
    <x v="0"/>
    <x v="95"/>
    <n v="4100"/>
    <n v="33160"/>
    <n v="135956000"/>
    <n v="893513000"/>
    <n v="324784000"/>
    <n v="15.215895012159869"/>
    <n v="238.88905234046308"/>
  </r>
  <r>
    <x v="7"/>
    <x v="1"/>
    <x v="79"/>
    <n v="950"/>
    <n v="33804"/>
    <n v="32113800"/>
    <n v="958340000"/>
    <n v="11958000"/>
    <n v="3.3509819062128265"/>
    <n v="37.23632830745661"/>
  </r>
  <r>
    <x v="7"/>
    <x v="1"/>
    <x v="80"/>
    <n v="1100"/>
    <n v="34427"/>
    <n v="37869700"/>
    <n v="958340000"/>
    <n v="11958000"/>
    <n v="3.9515933802199634"/>
    <n v="31.576695880875739"/>
  </r>
  <r>
    <x v="7"/>
    <x v="1"/>
    <x v="81"/>
    <n v="1250"/>
    <n v="35896"/>
    <n v="44870000"/>
    <n v="958340000"/>
    <n v="11958000"/>
    <n v="4.6820543857086214"/>
    <n v="26.650323155783372"/>
  </r>
  <r>
    <x v="7"/>
    <x v="1"/>
    <x v="82"/>
    <n v="1300"/>
    <n v="36247"/>
    <n v="47121100"/>
    <n v="958340000"/>
    <n v="11958000"/>
    <n v="4.9169501429555273"/>
    <n v="25.377166492293263"/>
  </r>
  <r>
    <x v="7"/>
    <x v="1"/>
    <x v="83"/>
    <n v="1350"/>
    <n v="36316"/>
    <n v="49026600"/>
    <n v="958340000"/>
    <n v="11958000"/>
    <n v="5.1157835423753575"/>
    <n v="24.390840890455383"/>
  </r>
  <r>
    <x v="7"/>
    <x v="1"/>
    <x v="84"/>
    <n v="1450"/>
    <n v="36620"/>
    <n v="53099000"/>
    <n v="958340000"/>
    <n v="11958000"/>
    <n v="5.5407266732057519"/>
    <n v="22.520198120491912"/>
  </r>
  <r>
    <x v="7"/>
    <x v="1"/>
    <x v="85"/>
    <n v="2000"/>
    <n v="37156"/>
    <n v="74312000"/>
    <n v="958340000"/>
    <n v="11958000"/>
    <n v="7.7542417096228906"/>
    <n v="16.09161373667779"/>
  </r>
  <r>
    <x v="7"/>
    <x v="1"/>
    <x v="86"/>
    <n v="2200"/>
    <n v="38132"/>
    <n v="83890400"/>
    <n v="958340000"/>
    <n v="11958000"/>
    <n v="8.7537199741219194"/>
    <n v="14.254312769995137"/>
  </r>
  <r>
    <x v="7"/>
    <x v="1"/>
    <x v="87"/>
    <n v="2300"/>
    <n v="38877"/>
    <n v="89417100"/>
    <n v="958340000"/>
    <n v="11958000"/>
    <n v="9.3304150927645733"/>
    <n v="13.373280949617019"/>
  </r>
  <r>
    <x v="7"/>
    <x v="1"/>
    <x v="88"/>
    <n v="1800"/>
    <n v="38933"/>
    <n v="70079400"/>
    <n v="958340000"/>
    <n v="11958000"/>
    <n v="7.3125821733414034"/>
    <n v="17.063502256012466"/>
  </r>
  <r>
    <x v="7"/>
    <x v="1"/>
    <x v="89"/>
    <n v="1700"/>
    <n v="40101"/>
    <n v="68171700"/>
    <n v="958340000"/>
    <n v="11958000"/>
    <n v="7.1135192103011464"/>
    <n v="17.541003084857792"/>
  </r>
  <r>
    <x v="7"/>
    <x v="1"/>
    <x v="90"/>
    <n v="1900"/>
    <n v="40430"/>
    <n v="76817000"/>
    <n v="958340000"/>
    <n v="11958000"/>
    <n v="8.0156311956090747"/>
    <n v="15.566866709191975"/>
  </r>
  <r>
    <x v="7"/>
    <x v="1"/>
    <x v="91"/>
    <n v="4000"/>
    <n v="40856"/>
    <n v="163424000"/>
    <n v="958340000"/>
    <n v="11958000"/>
    <n v="17.052820502118244"/>
    <n v="7.3171627178382614"/>
  </r>
  <r>
    <x v="7"/>
    <x v="1"/>
    <x v="92"/>
    <n v="650"/>
    <n v="41253"/>
    <n v="26814450"/>
    <n v="958340000"/>
    <n v="11958000"/>
    <n v="2.7980101007992988"/>
    <n v="44.595358099830499"/>
  </r>
  <r>
    <x v="7"/>
    <x v="1"/>
    <x v="93"/>
    <n v="1800"/>
    <n v="41253"/>
    <n v="74255400"/>
    <n v="958340000"/>
    <n v="11958000"/>
    <n v="7.7483356637519041"/>
    <n v="16.103879313827683"/>
  </r>
  <r>
    <x v="7"/>
    <x v="1"/>
    <x v="94"/>
    <n v="2800"/>
    <n v="41757"/>
    <n v="116919600"/>
    <n v="958340000"/>
    <n v="11958000"/>
    <n v="12.200221215852411"/>
    <n v="10.227540976876417"/>
  </r>
  <r>
    <x v="7"/>
    <x v="1"/>
    <x v="95"/>
    <n v="4100"/>
    <n v="42047"/>
    <n v="172392700"/>
    <n v="958340000"/>
    <n v="11958000"/>
    <n v="17.98867833962894"/>
    <n v="6.936488610016549"/>
  </r>
  <r>
    <x v="7"/>
    <x v="2"/>
    <x v="79"/>
    <n v="950"/>
    <n v="43034"/>
    <n v="40882300"/>
    <n v="3659559000"/>
    <n v="106833000"/>
    <n v="1.1171373381328187"/>
    <n v="261.31846789441886"/>
  </r>
  <r>
    <x v="7"/>
    <x v="2"/>
    <x v="80"/>
    <n v="1100"/>
    <n v="43287"/>
    <n v="47615700"/>
    <n v="3659559000"/>
    <n v="106833000"/>
    <n v="1.3011321855994125"/>
    <n v="224.36507286462239"/>
  </r>
  <r>
    <x v="7"/>
    <x v="2"/>
    <x v="81"/>
    <n v="1250"/>
    <n v="43363"/>
    <n v="54203750"/>
    <n v="3659559000"/>
    <n v="106833000"/>
    <n v="1.4811552430224517"/>
    <n v="197.0952194267002"/>
  </r>
  <r>
    <x v="7"/>
    <x v="2"/>
    <x v="82"/>
    <n v="1300"/>
    <n v="45098"/>
    <n v="58627400"/>
    <n v="3659559000"/>
    <n v="106833000"/>
    <n v="1.6020345620879457"/>
    <n v="182.22367016105096"/>
  </r>
  <r>
    <x v="7"/>
    <x v="2"/>
    <x v="83"/>
    <n v="1350"/>
    <n v="45833"/>
    <n v="61874550"/>
    <n v="3659559000"/>
    <n v="106833000"/>
    <n v="1.6907651987575552"/>
    <n v="172.66064965320959"/>
  </r>
  <r>
    <x v="7"/>
    <x v="2"/>
    <x v="84"/>
    <n v="1450"/>
    <n v="45999"/>
    <n v="66698550"/>
    <n v="3659559000"/>
    <n v="106833000"/>
    <n v="1.8225843605745937"/>
    <n v="160.17289731186059"/>
  </r>
  <r>
    <x v="7"/>
    <x v="2"/>
    <x v="85"/>
    <n v="2000"/>
    <n v="46540"/>
    <n v="93080000"/>
    <n v="3659559000"/>
    <n v="106833000"/>
    <n v="2.5434758669009025"/>
    <n v="114.77546196819939"/>
  </r>
  <r>
    <x v="7"/>
    <x v="2"/>
    <x v="86"/>
    <n v="2200"/>
    <n v="47151"/>
    <n v="103732200"/>
    <n v="3659559000"/>
    <n v="106833000"/>
    <n v="2.8345546553560141"/>
    <n v="102.98923574357816"/>
  </r>
  <r>
    <x v="7"/>
    <x v="2"/>
    <x v="87"/>
    <n v="2300"/>
    <n v="47246"/>
    <n v="108665800"/>
    <n v="3659559000"/>
    <n v="106833000"/>
    <n v="2.9693687135526439"/>
    <n v="98.313360781404995"/>
  </r>
  <r>
    <x v="7"/>
    <x v="2"/>
    <x v="88"/>
    <n v="1800"/>
    <n v="47781"/>
    <n v="86005800"/>
    <n v="3659559000"/>
    <n v="106833000"/>
    <n v="2.350168421932807"/>
    <n v="124.21604124373007"/>
  </r>
  <r>
    <x v="7"/>
    <x v="2"/>
    <x v="89"/>
    <n v="1700"/>
    <n v="49693"/>
    <n v="84478100"/>
    <n v="3659559000"/>
    <n v="106833000"/>
    <n v="2.3084229547877215"/>
    <n v="126.46236125102246"/>
  </r>
  <r>
    <x v="7"/>
    <x v="2"/>
    <x v="90"/>
    <n v="1900"/>
    <n v="51248"/>
    <n v="97371200"/>
    <n v="3659559000"/>
    <n v="106833000"/>
    <n v="2.6607358974127755"/>
    <n v="109.71724698884269"/>
  </r>
  <r>
    <x v="7"/>
    <x v="2"/>
    <x v="91"/>
    <n v="4000"/>
    <n v="52507"/>
    <n v="210028000"/>
    <n v="3659559000"/>
    <n v="106833000"/>
    <n v="5.7391614672696898"/>
    <n v="50.866074999523867"/>
  </r>
  <r>
    <x v="7"/>
    <x v="2"/>
    <x v="92"/>
    <n v="650"/>
    <n v="53121"/>
    <n v="34528650"/>
    <n v="3659559000"/>
    <n v="106833000"/>
    <n v="0.9435194240617516"/>
    <n v="309.40392978005218"/>
  </r>
  <r>
    <x v="7"/>
    <x v="2"/>
    <x v="93"/>
    <n v="1800"/>
    <n v="53817"/>
    <n v="96870600"/>
    <n v="3659559000"/>
    <n v="106833000"/>
    <n v="2.6470566535475992"/>
    <n v="110.28423484524717"/>
  </r>
  <r>
    <x v="7"/>
    <x v="2"/>
    <x v="94"/>
    <n v="2800"/>
    <n v="55325"/>
    <n v="154910000"/>
    <n v="3659559000"/>
    <n v="106833000"/>
    <n v="4.2330237058618261"/>
    <n v="68.964560067135764"/>
  </r>
  <r>
    <x v="7"/>
    <x v="2"/>
    <x v="95"/>
    <n v="4100"/>
    <n v="55944"/>
    <n v="229370400"/>
    <n v="3659559000"/>
    <n v="106833000"/>
    <n v="6.2677060268737304"/>
    <n v="46.576628893702065"/>
  </r>
  <r>
    <x v="8"/>
    <x v="0"/>
    <x v="96"/>
    <n v="57480"/>
    <n v="59339"/>
    <n v="3410805720"/>
    <n v="30538000"/>
    <n v="373000"/>
    <n v="11169.054031043292"/>
    <n v="1.0935832487110993E-2"/>
  </r>
  <r>
    <x v="8"/>
    <x v="0"/>
    <x v="97"/>
    <n v="51730"/>
    <n v="60502"/>
    <n v="3129768460"/>
    <n v="30538000"/>
    <n v="373000"/>
    <n v="10248.766978846028"/>
    <n v="1.191781452101412E-2"/>
  </r>
  <r>
    <x v="8"/>
    <x v="0"/>
    <x v="98"/>
    <n v="45620"/>
    <n v="63401"/>
    <n v="2892353620"/>
    <n v="30538000"/>
    <n v="373000"/>
    <n v="9471.3262820092987"/>
    <n v="1.2896071815727704E-2"/>
  </r>
  <r>
    <x v="8"/>
    <x v="0"/>
    <x v="99"/>
    <n v="38960"/>
    <n v="64282"/>
    <n v="2504426720"/>
    <n v="30538000"/>
    <n v="373000"/>
    <n v="8201.0174864103737"/>
    <n v="1.4893628031568041E-2"/>
  </r>
  <r>
    <x v="8"/>
    <x v="0"/>
    <x v="100"/>
    <n v="37080"/>
    <n v="71499"/>
    <n v="2651182920"/>
    <n v="30538000"/>
    <n v="373000"/>
    <n v="8681.5866133996988"/>
    <n v="1.4069191423426943E-2"/>
  </r>
  <r>
    <x v="8"/>
    <x v="0"/>
    <x v="101"/>
    <n v="36370"/>
    <n v="72437"/>
    <n v="2634533690"/>
    <n v="30538000"/>
    <n v="373000"/>
    <n v="8627.0669002554205"/>
    <n v="1.4158103250522486E-2"/>
  </r>
  <r>
    <x v="8"/>
    <x v="0"/>
    <x v="102"/>
    <n v="33110"/>
    <n v="74225"/>
    <n v="2457589750"/>
    <n v="30538000"/>
    <n v="373000"/>
    <n v="8047.6447377038439"/>
    <n v="1.5177472155391274E-2"/>
  </r>
  <r>
    <x v="8"/>
    <x v="0"/>
    <x v="97"/>
    <n v="58650"/>
    <n v="76881"/>
    <n v="4509070650"/>
    <n v="30538000"/>
    <n v="373000"/>
    <n v="14765.441908441941"/>
    <n v="8.2722145859479932E-3"/>
  </r>
  <r>
    <x v="8"/>
    <x v="0"/>
    <x v="98"/>
    <n v="52030"/>
    <n v="78155"/>
    <n v="4066404650"/>
    <n v="30538000"/>
    <n v="373000"/>
    <n v="13315.883980614317"/>
    <n v="9.1727221490364962E-3"/>
  </r>
  <r>
    <x v="8"/>
    <x v="0"/>
    <x v="99"/>
    <n v="44100"/>
    <n v="78674"/>
    <n v="3469523400"/>
    <n v="30538000"/>
    <n v="373000"/>
    <n v="11361.331455891021"/>
    <n v="1.0750756141319007E-2"/>
  </r>
  <r>
    <x v="8"/>
    <x v="0"/>
    <x v="100"/>
    <n v="43640"/>
    <n v="80860"/>
    <n v="3528730400"/>
    <n v="30538000"/>
    <n v="373000"/>
    <n v="11555.211212260134"/>
    <n v="1.057037397926461E-2"/>
  </r>
  <r>
    <x v="8"/>
    <x v="0"/>
    <x v="101"/>
    <n v="41350"/>
    <n v="83000"/>
    <n v="3432050000"/>
    <n v="30538000"/>
    <n v="373000"/>
    <n v="11238.620734822189"/>
    <n v="1.0868140032924929E-2"/>
  </r>
  <r>
    <x v="8"/>
    <x v="0"/>
    <x v="102"/>
    <n v="37640"/>
    <n v="83471"/>
    <n v="3141848440"/>
    <n v="30538000"/>
    <n v="373000"/>
    <n v="10288.324186259742"/>
    <n v="1.1871992144853429E-2"/>
  </r>
  <r>
    <x v="8"/>
    <x v="1"/>
    <x v="96"/>
    <n v="57480"/>
    <n v="83772"/>
    <n v="4815214560"/>
    <n v="19535000"/>
    <n v="963000"/>
    <n v="24649.165907345789"/>
    <n v="1.9999108824758163E-2"/>
  </r>
  <r>
    <x v="8"/>
    <x v="1"/>
    <x v="97"/>
    <n v="51730"/>
    <n v="84538"/>
    <n v="4373150740"/>
    <n v="19535000"/>
    <n v="963000"/>
    <n v="22386.233631942669"/>
    <n v="2.2020736472486653E-2"/>
  </r>
  <r>
    <x v="8"/>
    <x v="1"/>
    <x v="98"/>
    <n v="45620"/>
    <n v="85800"/>
    <n v="3914196000"/>
    <n v="19535000"/>
    <n v="963000"/>
    <n v="20036.836447402096"/>
    <n v="2.4602753668952704E-2"/>
  </r>
  <r>
    <x v="8"/>
    <x v="1"/>
    <x v="99"/>
    <n v="38960"/>
    <n v="86727"/>
    <n v="3378883920"/>
    <n v="19535000"/>
    <n v="963000"/>
    <n v="17296.564729971844"/>
    <n v="2.850053517079687E-2"/>
  </r>
  <r>
    <x v="8"/>
    <x v="1"/>
    <x v="100"/>
    <n v="37080"/>
    <n v="87920"/>
    <n v="3260073600"/>
    <n v="19535000"/>
    <n v="963000"/>
    <n v="16688.372664448427"/>
    <n v="2.9539210403102555E-2"/>
  </r>
  <r>
    <x v="8"/>
    <x v="1"/>
    <x v="101"/>
    <n v="36370"/>
    <n v="88268"/>
    <n v="3210307160"/>
    <n v="19535000"/>
    <n v="963000"/>
    <n v="16433.617404658307"/>
    <n v="2.9997129620456631E-2"/>
  </r>
  <r>
    <x v="8"/>
    <x v="1"/>
    <x v="102"/>
    <n v="33110"/>
    <n v="90658"/>
    <n v="3001686380"/>
    <n v="19535000"/>
    <n v="963000"/>
    <n v="15365.684054261581"/>
    <n v="3.2081965871464564E-2"/>
  </r>
  <r>
    <x v="8"/>
    <x v="1"/>
    <x v="97"/>
    <n v="58650"/>
    <n v="93594"/>
    <n v="5489288100"/>
    <n v="19535000"/>
    <n v="963000"/>
    <n v="28099.759918095726"/>
    <n v="1.7543258478271529E-2"/>
  </r>
  <r>
    <x v="8"/>
    <x v="1"/>
    <x v="98"/>
    <n v="52030"/>
    <n v="95320"/>
    <n v="4959499600"/>
    <n v="19535000"/>
    <n v="963000"/>
    <n v="25387.763501407731"/>
    <n v="1.9417281533806355E-2"/>
  </r>
  <r>
    <x v="8"/>
    <x v="1"/>
    <x v="99"/>
    <n v="44100"/>
    <n v="97849"/>
    <n v="4315140900"/>
    <n v="19535000"/>
    <n v="963000"/>
    <n v="22089.280266188889"/>
    <n v="2.2316768381769412E-2"/>
  </r>
  <r>
    <x v="8"/>
    <x v="1"/>
    <x v="100"/>
    <n v="43640"/>
    <n v="107457"/>
    <n v="4689423480"/>
    <n v="19535000"/>
    <n v="963000"/>
    <n v="24005.239211671356"/>
    <n v="2.0535573383532423E-2"/>
  </r>
  <r>
    <x v="8"/>
    <x v="1"/>
    <x v="101"/>
    <n v="41350"/>
    <n v="107463"/>
    <n v="4443595050"/>
    <n v="19535000"/>
    <n v="963000"/>
    <n v="22746.839262861529"/>
    <n v="2.1671641748723255E-2"/>
  </r>
  <r>
    <x v="8"/>
    <x v="1"/>
    <x v="102"/>
    <n v="37640"/>
    <n v="107634"/>
    <n v="4051343760"/>
    <n v="19535000"/>
    <n v="963000"/>
    <n v="20738.898182748911"/>
    <n v="2.3769891103982744E-2"/>
  </r>
  <r>
    <x v="8"/>
    <x v="2"/>
    <x v="96"/>
    <n v="57480"/>
    <n v="109324"/>
    <n v="6283943520"/>
    <n v="78213000"/>
    <n v="1027000"/>
    <n v="8034.3977599631771"/>
    <n v="1.6343240462479522E-2"/>
  </r>
  <r>
    <x v="8"/>
    <x v="2"/>
    <x v="97"/>
    <n v="51730"/>
    <n v="113299"/>
    <n v="5860957270"/>
    <n v="78213000"/>
    <n v="1027000"/>
    <n v="7493.5845319831742"/>
    <n v="1.7522734814273778E-2"/>
  </r>
  <r>
    <x v="8"/>
    <x v="2"/>
    <x v="98"/>
    <n v="45620"/>
    <n v="114389"/>
    <n v="5218426180"/>
    <n v="78213000"/>
    <n v="1027000"/>
    <n v="6672.0700906498923"/>
    <n v="1.9680263063527707E-2"/>
  </r>
  <r>
    <x v="8"/>
    <x v="2"/>
    <x v="99"/>
    <n v="38960"/>
    <n v="119593"/>
    <n v="4659343280"/>
    <n v="78213000"/>
    <n v="1027000"/>
    <n v="5957.2491529541121"/>
    <n v="2.2041732885583823E-2"/>
  </r>
  <r>
    <x v="8"/>
    <x v="2"/>
    <x v="100"/>
    <n v="37080"/>
    <n v="119593"/>
    <n v="4434508440"/>
    <n v="78213000"/>
    <n v="1027000"/>
    <n v="5669.7843580990375"/>
    <n v="2.3159274898121515E-2"/>
  </r>
  <r>
    <x v="8"/>
    <x v="2"/>
    <x v="101"/>
    <n v="36370"/>
    <n v="126628"/>
    <n v="4605460360"/>
    <n v="78213000"/>
    <n v="1027000"/>
    <n v="5888.3566159078409"/>
    <n v="2.2299616536054608E-2"/>
  </r>
  <r>
    <x v="8"/>
    <x v="2"/>
    <x v="102"/>
    <n v="33110"/>
    <n v="126646"/>
    <n v="4193249060"/>
    <n v="78213000"/>
    <n v="1027000"/>
    <n v="5361.3198061703297"/>
    <n v="2.4491748172001022E-2"/>
  </r>
  <r>
    <x v="8"/>
    <x v="2"/>
    <x v="97"/>
    <n v="58650"/>
    <n v="127002"/>
    <n v="7448667300"/>
    <n v="78213000"/>
    <n v="1027000"/>
    <n v="9523.5667983583298"/>
    <n v="1.3787701324772554E-2"/>
  </r>
  <r>
    <x v="8"/>
    <x v="2"/>
    <x v="98"/>
    <n v="52030"/>
    <n v="138220"/>
    <n v="7191586600"/>
    <n v="78213000"/>
    <n v="1027000"/>
    <n v="9194.8737422167669"/>
    <n v="1.4280576138789736E-2"/>
  </r>
  <r>
    <x v="8"/>
    <x v="2"/>
    <x v="99"/>
    <n v="44100"/>
    <n v="145835"/>
    <n v="6431323500"/>
    <n v="78213000"/>
    <n v="1027000"/>
    <n v="8222.8318821679259"/>
    <n v="1.596871934680319E-2"/>
  </r>
  <r>
    <x v="8"/>
    <x v="2"/>
    <x v="100"/>
    <n v="43640"/>
    <n v="146039"/>
    <n v="6373141960"/>
    <n v="78213000"/>
    <n v="1027000"/>
    <n v="8148.4433022643298"/>
    <n v="1.6114500609680442E-2"/>
  </r>
  <r>
    <x v="8"/>
    <x v="2"/>
    <x v="101"/>
    <n v="41350"/>
    <n v="148460"/>
    <n v="6138821000"/>
    <n v="78213000"/>
    <n v="1027000"/>
    <n v="7848.8499354327287"/>
    <n v="1.6729596774364329E-2"/>
  </r>
  <r>
    <x v="8"/>
    <x v="2"/>
    <x v="102"/>
    <n v="37640"/>
    <n v="149727"/>
    <n v="5635724280"/>
    <n v="78213000"/>
    <n v="1027000"/>
    <n v="7205.6106785317015"/>
    <n v="1.8223034857198516E-2"/>
  </r>
  <r>
    <x v="9"/>
    <x v="0"/>
    <x v="103"/>
    <n v="2000"/>
    <n v="154047"/>
    <n v="308094000"/>
    <n v="1030000"/>
    <n v="-172000"/>
    <n v="29912.038834951454"/>
    <n v="-5.5827117697845464E-2"/>
  </r>
  <r>
    <x v="9"/>
    <x v="0"/>
    <x v="104"/>
    <n v="18000"/>
    <n v="159457"/>
    <n v="2870226000"/>
    <n v="1030000"/>
    <n v="-172000"/>
    <n v="278662.71844660194"/>
    <n v="-5.9925594709266793E-3"/>
  </r>
  <r>
    <x v="9"/>
    <x v="0"/>
    <x v="105"/>
    <n v="2000"/>
    <n v="162081"/>
    <n v="324162000"/>
    <n v="1030000"/>
    <n v="-172000"/>
    <n v="31472.038834951458"/>
    <n v="-5.3059889808182326E-2"/>
  </r>
  <r>
    <x v="9"/>
    <x v="0"/>
    <x v="106"/>
    <n v="25000"/>
    <n v="165590"/>
    <n v="4139750000"/>
    <n v="1030000"/>
    <n v="-172000"/>
    <n v="401917.47572815535"/>
    <n v="-4.1548402681321336E-3"/>
  </r>
  <r>
    <x v="9"/>
    <x v="0"/>
    <x v="107"/>
    <n v="500"/>
    <n v="172214"/>
    <n v="86107000"/>
    <n v="1030000"/>
    <n v="-172000"/>
    <n v="8359.9029126213591"/>
    <n v="-0.19975147200576027"/>
  </r>
  <r>
    <x v="9"/>
    <x v="0"/>
    <x v="108"/>
    <n v="7000"/>
    <n v="195698"/>
    <n v="1369886000"/>
    <n v="1030000"/>
    <n v="-172000"/>
    <n v="132998.64077669903"/>
    <n v="-1.2555789313855313E-2"/>
  </r>
  <r>
    <x v="9"/>
    <x v="0"/>
    <x v="109"/>
    <n v="500"/>
    <n v="208299"/>
    <n v="104149500"/>
    <n v="1030000"/>
    <n v="-172000"/>
    <n v="10111.601941747573"/>
    <n v="-0.16514721626123985"/>
  </r>
  <r>
    <x v="9"/>
    <x v="0"/>
    <x v="110"/>
    <n v="7000"/>
    <n v="209158"/>
    <n v="1464106000"/>
    <n v="1030000"/>
    <n v="-172000"/>
    <n v="142146.21359223302"/>
    <n v="-1.1747783288914874E-2"/>
  </r>
  <r>
    <x v="9"/>
    <x v="1"/>
    <x v="103"/>
    <n v="2000"/>
    <n v="214900"/>
    <n v="429800000"/>
    <n v="2164000"/>
    <n v="626000"/>
    <n v="19861.367837338261"/>
    <n v="0.14564913913448113"/>
  </r>
  <r>
    <x v="9"/>
    <x v="1"/>
    <x v="104"/>
    <n v="18000"/>
    <n v="226598"/>
    <n v="4078764000"/>
    <n v="2164000"/>
    <n v="626000"/>
    <n v="188482.62476894641"/>
    <n v="1.5347786731470612E-2"/>
  </r>
  <r>
    <x v="9"/>
    <x v="1"/>
    <x v="105"/>
    <n v="2000"/>
    <n v="228778"/>
    <n v="457556000"/>
    <n v="2164000"/>
    <n v="626000"/>
    <n v="21143.992606284657"/>
    <n v="0.13681385447901459"/>
  </r>
  <r>
    <x v="9"/>
    <x v="1"/>
    <x v="106"/>
    <n v="25000"/>
    <n v="270562"/>
    <n v="6764050000"/>
    <n v="2164000"/>
    <n v="626000"/>
    <n v="312571.62661737524"/>
    <n v="9.2548103576998979E-3"/>
  </r>
  <r>
    <x v="9"/>
    <x v="1"/>
    <x v="107"/>
    <n v="500"/>
    <n v="273362"/>
    <n v="136681000"/>
    <n v="2164000"/>
    <n v="626000"/>
    <n v="6316.1275415896489"/>
    <n v="0.45800074626319681"/>
  </r>
  <r>
    <x v="9"/>
    <x v="1"/>
    <x v="108"/>
    <n v="7000"/>
    <n v="295504"/>
    <n v="2068528000"/>
    <n v="2164000"/>
    <n v="626000"/>
    <n v="95588.170055452865"/>
    <n v="3.0263066296419484E-2"/>
  </r>
  <r>
    <x v="9"/>
    <x v="1"/>
    <x v="109"/>
    <n v="500"/>
    <n v="331181"/>
    <n v="165590500"/>
    <n v="2164000"/>
    <n v="626000"/>
    <n v="7652.0563770794824"/>
    <n v="0.37804101080677938"/>
  </r>
  <r>
    <x v="9"/>
    <x v="1"/>
    <x v="110"/>
    <n v="7000"/>
    <n v="366506"/>
    <n v="2565542000"/>
    <n v="2164000"/>
    <n v="626000"/>
    <n v="118555.54528650649"/>
    <n v="2.4400302158374333E-2"/>
  </r>
  <r>
    <x v="9"/>
    <x v="2"/>
    <x v="103"/>
    <n v="2000"/>
    <n v="371000"/>
    <n v="742000000"/>
    <n v="6268000"/>
    <n v="2612000"/>
    <n v="11837.906828334397"/>
    <n v="0.35202156334231804"/>
  </r>
  <r>
    <x v="9"/>
    <x v="2"/>
    <x v="104"/>
    <n v="18000"/>
    <n v="400391"/>
    <n v="7207038000"/>
    <n v="6268000"/>
    <n v="2612000"/>
    <n v="114981.46139119336"/>
    <n v="3.624235087979278E-2"/>
  </r>
  <r>
    <x v="9"/>
    <x v="2"/>
    <x v="105"/>
    <n v="2000"/>
    <n v="433666"/>
    <n v="867332000"/>
    <n v="6268000"/>
    <n v="2612000"/>
    <n v="13837.460114869176"/>
    <n v="0.3011534222189427"/>
  </r>
  <r>
    <x v="9"/>
    <x v="2"/>
    <x v="106"/>
    <n v="25000"/>
    <n v="439623"/>
    <n v="10990575000"/>
    <n v="6268000"/>
    <n v="2612000"/>
    <n v="175344.20867900446"/>
    <n v="2.376581753002004E-2"/>
  </r>
  <r>
    <x v="9"/>
    <x v="2"/>
    <x v="107"/>
    <n v="500"/>
    <n v="476620"/>
    <n v="238310000"/>
    <n v="6268000"/>
    <n v="2612000"/>
    <n v="3802.0102105934911"/>
    <n v="1.096051361671772"/>
  </r>
  <r>
    <x v="9"/>
    <x v="2"/>
    <x v="108"/>
    <n v="7000"/>
    <n v="628433"/>
    <n v="4399031000"/>
    <n v="6268000"/>
    <n v="2612000"/>
    <n v="70182.370772176131"/>
    <n v="5.937671273514554E-2"/>
  </r>
  <r>
    <x v="9"/>
    <x v="2"/>
    <x v="109"/>
    <n v="500"/>
    <n v="633695"/>
    <n v="316847500"/>
    <n v="6268000"/>
    <n v="2612000"/>
    <n v="5055.0015954052324"/>
    <n v="0.82437134583671967"/>
  </r>
  <r>
    <x v="9"/>
    <x v="2"/>
    <x v="110"/>
    <n v="7000"/>
    <n v="686333"/>
    <n v="4804331000"/>
    <n v="6268000"/>
    <n v="2612000"/>
    <n v="76648.548181238031"/>
    <n v="5.4367611224122564E-2"/>
  </r>
  <r>
    <x v="10"/>
    <x v="3"/>
    <x v="111"/>
    <m/>
    <m/>
    <m/>
    <m/>
    <m/>
    <m/>
    <m/>
  </r>
  <r>
    <x v="10"/>
    <x v="3"/>
    <x v="111"/>
    <m/>
    <m/>
    <m/>
    <m/>
    <m/>
    <m/>
    <m/>
  </r>
  <r>
    <x v="10"/>
    <x v="3"/>
    <x v="111"/>
    <m/>
    <m/>
    <m/>
    <m/>
    <m/>
    <m/>
    <m/>
  </r>
  <r>
    <x v="10"/>
    <x v="3"/>
    <x v="11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9" rowHeaderCaption="Год">
  <location ref="A22:B27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Выручка, руб" fld="4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showMissing="0" updatedVersion="6" minRefreshableVersion="3" useAutoFormatting="1" itemPrintTitles="1" createdVersion="6" indent="0" outline="1" outlineData="1" multipleFieldFilters="0">
  <location ref="A3:K17" firstHeaderRow="1" firstDataRow="3" firstDataCol="1"/>
  <pivotFields count="8">
    <pivotField axis="axisRow"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Сумма по полю Выручка, руб" fld="5" baseField="0" baseItem="0"/>
    <dataField name="Сумма по полю Количество, шт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9" rowHeaderCaption="Год">
  <location ref="A38:B43" firstHeaderRow="1" firstDataRow="1" firstDataCol="1"/>
  <pivotFields count="8">
    <pivotField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32">
        <item x="27"/>
        <item x="24"/>
        <item x="28"/>
        <item x="25"/>
        <item x="26"/>
        <item x="29"/>
        <item x="20"/>
        <item x="22"/>
        <item x="18"/>
        <item x="5"/>
        <item x="3"/>
        <item x="23"/>
        <item x="19"/>
        <item x="4"/>
        <item x="9"/>
        <item x="0"/>
        <item x="11"/>
        <item x="15"/>
        <item x="21"/>
        <item x="6"/>
        <item x="8"/>
        <item x="17"/>
        <item x="7"/>
        <item x="10"/>
        <item x="1"/>
        <item x="16"/>
        <item x="2"/>
        <item x="13"/>
        <item x="14"/>
        <item x="12"/>
        <item x="3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Годовая прибыль, руб." fld="7" baseField="1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2" rowHeaderCaption="Год">
  <location ref="A30:B35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Годовая выручка, руб" fld="6" baseField="1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D4" firstHeaderRow="0" firstDataRow="1" firstDataCol="1"/>
  <pivotFields count="8">
    <pivotField axis="axisRow"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showAll="0">
      <items count="5">
        <item x="0"/>
        <item h="1" x="1"/>
        <item h="1" x="2"/>
        <item h="1" x="3"/>
        <item t="default"/>
      </items>
    </pivotField>
    <pivotField axis="axisRow" showAll="0">
      <items count="113">
        <item h="1" x="35"/>
        <item h="1" x="29"/>
        <item h="1" x="84"/>
        <item h="1" x="71"/>
        <item h="1" x="74"/>
        <item h="1" x="70"/>
        <item h="1" x="68"/>
        <item h="1" x="66"/>
        <item h="1" x="21"/>
        <item h="1" x="58"/>
        <item h="1" x="12"/>
        <item h="1" x="95"/>
        <item h="1" x="90"/>
        <item h="1" x="7"/>
        <item h="1" x="25"/>
        <item h="1" x="26"/>
        <item h="1" x="91"/>
        <item h="1" x="78"/>
        <item h="1" x="77"/>
        <item h="1" x="76"/>
        <item h="1" x="14"/>
        <item h="1" x="56"/>
        <item h="1" x="57"/>
        <item h="1" x="15"/>
        <item h="1" x="92"/>
        <item h="1" x="42"/>
        <item h="1" x="48"/>
        <item h="1" x="43"/>
        <item x="63"/>
        <item h="1" x="20"/>
        <item h="1" x="83"/>
        <item h="1" x="82"/>
        <item h="1" x="64"/>
        <item h="1" x="11"/>
        <item h="1" x="73"/>
        <item h="1" x="72"/>
        <item h="1" x="69"/>
        <item h="1" x="45"/>
        <item h="1" x="28"/>
        <item h="1" x="31"/>
        <item h="1" x="27"/>
        <item h="1" x="51"/>
        <item h="1" x="85"/>
        <item h="1" x="55"/>
        <item h="1" x="54"/>
        <item h="1" x="53"/>
        <item h="1" x="52"/>
        <item h="1" x="22"/>
        <item h="1" x="8"/>
        <item h="1" x="89"/>
        <item h="1" x="88"/>
        <item h="1" x="17"/>
        <item h="1" x="16"/>
        <item h="1" x="75"/>
        <item h="1" x="44"/>
        <item h="1" x="5"/>
        <item h="1" x="4"/>
        <item h="1" x="3"/>
        <item h="1" x="2"/>
        <item h="1" x="6"/>
        <item h="1" x="0"/>
        <item h="1" x="1"/>
        <item h="1" x="81"/>
        <item h="1" x="65"/>
        <item h="1" x="79"/>
        <item h="1" x="62"/>
        <item h="1" x="61"/>
        <item h="1" x="59"/>
        <item h="1" x="60"/>
        <item h="1" x="10"/>
        <item h="1" x="41"/>
        <item h="1" x="37"/>
        <item h="1" x="49"/>
        <item h="1" x="36"/>
        <item h="1" x="23"/>
        <item h="1" x="13"/>
        <item h="1" x="94"/>
        <item h="1" x="67"/>
        <item h="1" x="30"/>
        <item h="1" x="93"/>
        <item h="1" x="103"/>
        <item h="1" x="107"/>
        <item h="1" x="105"/>
        <item h="1" x="109"/>
        <item h="1" x="9"/>
        <item h="1" x="33"/>
        <item h="1" x="110"/>
        <item h="1" x="106"/>
        <item h="1" x="108"/>
        <item h="1" x="104"/>
        <item h="1" x="87"/>
        <item h="1" x="19"/>
        <item h="1" x="24"/>
        <item h="1" x="80"/>
        <item h="1" x="32"/>
        <item h="1" x="86"/>
        <item h="1" x="34"/>
        <item h="1" x="18"/>
        <item h="1" x="47"/>
        <item h="1" x="96"/>
        <item h="1" x="97"/>
        <item h="1" x="98"/>
        <item h="1" x="99"/>
        <item h="1" x="100"/>
        <item h="1" x="101"/>
        <item h="1" x="102"/>
        <item h="1" x="38"/>
        <item h="1" x="40"/>
        <item h="1" x="39"/>
        <item h="1" x="46"/>
        <item h="1" x="50"/>
        <item h="1" x="111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2">
    <field x="2"/>
    <field x="0"/>
  </rowFields>
  <rowItems count="3">
    <i>
      <x v="28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ичество, шт" fld="4" baseField="2" baseItem="0"/>
    <dataField name="Сумма по полю Выручка, руб" fld="5" baseField="2" baseItem="0" numFmtId="2"/>
    <dataField name="Среднее по полю Цена, руб" fld="3" subtotal="average" baseField="2" baseItem="0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3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A3:F133" firstHeaderRow="1" firstDataRow="2" firstDataCol="1"/>
  <pivotFields count="10">
    <pivotField axis="axisRow"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13">
        <item x="35"/>
        <item x="29"/>
        <item x="84"/>
        <item x="71"/>
        <item x="74"/>
        <item x="70"/>
        <item x="68"/>
        <item x="66"/>
        <item x="21"/>
        <item x="58"/>
        <item x="12"/>
        <item x="95"/>
        <item x="90"/>
        <item x="7"/>
        <item x="25"/>
        <item x="26"/>
        <item x="91"/>
        <item x="78"/>
        <item x="77"/>
        <item x="76"/>
        <item x="14"/>
        <item x="56"/>
        <item x="57"/>
        <item x="15"/>
        <item x="92"/>
        <item x="42"/>
        <item x="48"/>
        <item x="43"/>
        <item x="63"/>
        <item x="20"/>
        <item x="83"/>
        <item x="82"/>
        <item x="64"/>
        <item x="11"/>
        <item x="73"/>
        <item x="72"/>
        <item x="69"/>
        <item x="45"/>
        <item x="28"/>
        <item x="31"/>
        <item x="27"/>
        <item x="51"/>
        <item x="85"/>
        <item x="55"/>
        <item x="54"/>
        <item x="53"/>
        <item x="52"/>
        <item x="22"/>
        <item x="8"/>
        <item x="89"/>
        <item x="88"/>
        <item x="17"/>
        <item x="16"/>
        <item x="75"/>
        <item x="44"/>
        <item x="5"/>
        <item x="4"/>
        <item x="3"/>
        <item x="2"/>
        <item x="6"/>
        <item x="0"/>
        <item x="1"/>
        <item x="81"/>
        <item x="65"/>
        <item x="79"/>
        <item x="62"/>
        <item x="61"/>
        <item x="59"/>
        <item x="60"/>
        <item x="10"/>
        <item x="41"/>
        <item x="37"/>
        <item x="49"/>
        <item x="36"/>
        <item x="23"/>
        <item x="13"/>
        <item x="94"/>
        <item x="67"/>
        <item x="30"/>
        <item x="93"/>
        <item x="103"/>
        <item x="107"/>
        <item x="105"/>
        <item x="109"/>
        <item x="9"/>
        <item x="33"/>
        <item x="110"/>
        <item x="106"/>
        <item x="108"/>
        <item x="104"/>
        <item x="87"/>
        <item x="19"/>
        <item x="24"/>
        <item x="80"/>
        <item x="32"/>
        <item x="86"/>
        <item x="34"/>
        <item x="18"/>
        <item x="47"/>
        <item x="96"/>
        <item x="97"/>
        <item x="98"/>
        <item x="99"/>
        <item x="100"/>
        <item x="101"/>
        <item x="102"/>
        <item x="38"/>
        <item x="40"/>
        <item x="39"/>
        <item x="46"/>
        <item x="50"/>
        <item x="1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129">
    <i>
      <x/>
    </i>
    <i r="1">
      <x v="10"/>
    </i>
    <i r="1">
      <x v="13"/>
    </i>
    <i r="1">
      <x v="33"/>
    </i>
    <i r="1">
      <x v="48"/>
    </i>
    <i r="1">
      <x v="69"/>
    </i>
    <i r="1">
      <x v="75"/>
    </i>
    <i r="1">
      <x v="84"/>
    </i>
    <i>
      <x v="1"/>
    </i>
    <i r="1">
      <x v="2"/>
    </i>
    <i r="1">
      <x v="11"/>
    </i>
    <i r="1">
      <x v="12"/>
    </i>
    <i r="1">
      <x v="16"/>
    </i>
    <i r="1">
      <x v="24"/>
    </i>
    <i r="1">
      <x v="30"/>
    </i>
    <i r="1">
      <x v="31"/>
    </i>
    <i r="1">
      <x v="42"/>
    </i>
    <i r="1">
      <x v="49"/>
    </i>
    <i r="1">
      <x v="50"/>
    </i>
    <i r="1">
      <x v="62"/>
    </i>
    <i r="1">
      <x v="64"/>
    </i>
    <i r="1">
      <x v="76"/>
    </i>
    <i r="1">
      <x v="79"/>
    </i>
    <i r="1">
      <x v="90"/>
    </i>
    <i r="1">
      <x v="93"/>
    </i>
    <i r="1">
      <x v="95"/>
    </i>
    <i>
      <x v="2"/>
    </i>
    <i r="1">
      <x v="9"/>
    </i>
    <i r="1">
      <x v="21"/>
    </i>
    <i r="1">
      <x v="22"/>
    </i>
    <i r="1">
      <x v="28"/>
    </i>
    <i r="1">
      <x v="32"/>
    </i>
    <i r="1">
      <x v="41"/>
    </i>
    <i r="1">
      <x v="43"/>
    </i>
    <i r="1">
      <x v="44"/>
    </i>
    <i r="1">
      <x v="45"/>
    </i>
    <i r="1">
      <x v="46"/>
    </i>
    <i r="1">
      <x v="63"/>
    </i>
    <i r="1">
      <x v="65"/>
    </i>
    <i r="1">
      <x v="66"/>
    </i>
    <i r="1">
      <x v="67"/>
    </i>
    <i r="1">
      <x v="68"/>
    </i>
    <i>
      <x v="3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>
      <x v="4"/>
    </i>
    <i r="1">
      <x v="25"/>
    </i>
    <i r="1">
      <x v="26"/>
    </i>
    <i r="1">
      <x v="27"/>
    </i>
    <i r="1">
      <x v="37"/>
    </i>
    <i r="1">
      <x v="54"/>
    </i>
    <i r="1">
      <x v="70"/>
    </i>
    <i r="1">
      <x v="72"/>
    </i>
    <i r="1">
      <x v="98"/>
    </i>
    <i r="1">
      <x v="107"/>
    </i>
    <i r="1">
      <x v="108"/>
    </i>
    <i r="1">
      <x v="109"/>
    </i>
    <i r="1">
      <x v="110"/>
    </i>
    <i>
      <x v="5"/>
    </i>
    <i r="1">
      <x v="80"/>
    </i>
    <i r="1">
      <x v="81"/>
    </i>
    <i r="1">
      <x v="82"/>
    </i>
    <i r="1">
      <x v="83"/>
    </i>
    <i r="1">
      <x v="86"/>
    </i>
    <i r="1">
      <x v="87"/>
    </i>
    <i r="1">
      <x v="88"/>
    </i>
    <i r="1">
      <x v="89"/>
    </i>
    <i>
      <x v="6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7"/>
    </i>
    <i r="1">
      <x v="3"/>
    </i>
    <i r="1">
      <x v="4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34"/>
    </i>
    <i r="1">
      <x v="35"/>
    </i>
    <i r="1">
      <x v="36"/>
    </i>
    <i r="1">
      <x v="53"/>
    </i>
    <i r="1">
      <x v="77"/>
    </i>
    <i>
      <x v="8"/>
    </i>
    <i r="1">
      <x v="8"/>
    </i>
    <i r="1">
      <x v="20"/>
    </i>
    <i r="1">
      <x v="23"/>
    </i>
    <i r="1">
      <x v="29"/>
    </i>
    <i r="1">
      <x v="47"/>
    </i>
    <i r="1">
      <x v="51"/>
    </i>
    <i r="1">
      <x v="52"/>
    </i>
    <i r="1">
      <x v="69"/>
    </i>
    <i r="1">
      <x v="74"/>
    </i>
    <i r="1">
      <x v="91"/>
    </i>
    <i r="1">
      <x v="92"/>
    </i>
    <i r="1">
      <x v="97"/>
    </i>
    <i>
      <x v="9"/>
    </i>
    <i r="1">
      <x/>
    </i>
    <i r="1">
      <x v="1"/>
    </i>
    <i r="1">
      <x v="8"/>
    </i>
    <i r="1">
      <x v="14"/>
    </i>
    <i r="1">
      <x v="15"/>
    </i>
    <i r="1">
      <x v="29"/>
    </i>
    <i r="1">
      <x v="38"/>
    </i>
    <i r="1">
      <x v="39"/>
    </i>
    <i r="1">
      <x v="40"/>
    </i>
    <i r="1">
      <x v="48"/>
    </i>
    <i r="1">
      <x v="69"/>
    </i>
    <i r="1">
      <x v="71"/>
    </i>
    <i r="1">
      <x v="73"/>
    </i>
    <i r="1">
      <x v="78"/>
    </i>
    <i r="1">
      <x v="85"/>
    </i>
    <i r="1">
      <x v="94"/>
    </i>
    <i r="1">
      <x v="96"/>
    </i>
    <i r="1">
      <x v="106"/>
    </i>
    <i>
      <x v="10"/>
    </i>
    <i r="1">
      <x v="1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Среднее по полю Цена, руб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омпания" sourceName="Компания">
  <pivotTables>
    <pivotTable tabId="5" name="Сводная таблица5"/>
  </pivotTables>
  <data>
    <tabular pivotCacheId="1">
      <items count="11">
        <i x="5" s="1"/>
        <i x="1" s="1" nd="1"/>
        <i x="7" s="1" nd="1"/>
        <i x="8" s="1" nd="1"/>
        <i x="4" s="1" nd="1"/>
        <i x="9" s="1" nd="1"/>
        <i x="0" s="1" nd="1"/>
        <i x="6" s="1" nd="1"/>
        <i x="2" s="1" nd="1"/>
        <i x="3" s="1" nd="1"/>
        <i x="1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д" sourceName="Год">
  <pivotTables>
    <pivotTable tabId="5" name="Сводная таблица5"/>
  </pivotTables>
  <data>
    <tabular pivotCacheId="1">
      <items count="4">
        <i x="0" s="1"/>
        <i x="1"/>
        <i x="2"/>
        <i x="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Продукция" sourceName="Продукция">
  <pivotTables>
    <pivotTable tabId="5" name="Сводная таблица5"/>
  </pivotTables>
  <data>
    <tabular pivotCacheId="1">
      <items count="112">
        <i x="35"/>
        <i x="29"/>
        <i x="84"/>
        <i x="71"/>
        <i x="74"/>
        <i x="70"/>
        <i x="68"/>
        <i x="66"/>
        <i x="21"/>
        <i x="58"/>
        <i x="12"/>
        <i x="95"/>
        <i x="90"/>
        <i x="7"/>
        <i x="25"/>
        <i x="26"/>
        <i x="91"/>
        <i x="78"/>
        <i x="77"/>
        <i x="76"/>
        <i x="14"/>
        <i x="56"/>
        <i x="57"/>
        <i x="15"/>
        <i x="92"/>
        <i x="42"/>
        <i x="48"/>
        <i x="43"/>
        <i x="63" s="1"/>
        <i x="20"/>
        <i x="83"/>
        <i x="82"/>
        <i x="64"/>
        <i x="11"/>
        <i x="73"/>
        <i x="72"/>
        <i x="69"/>
        <i x="45"/>
        <i x="28"/>
        <i x="31"/>
        <i x="27"/>
        <i x="51"/>
        <i x="85"/>
        <i x="55"/>
        <i x="54"/>
        <i x="53"/>
        <i x="52"/>
        <i x="22"/>
        <i x="8"/>
        <i x="89"/>
        <i x="88"/>
        <i x="17"/>
        <i x="16"/>
        <i x="75"/>
        <i x="44"/>
        <i x="5"/>
        <i x="4"/>
        <i x="3"/>
        <i x="2"/>
        <i x="6"/>
        <i x="0"/>
        <i x="1"/>
        <i x="81"/>
        <i x="65"/>
        <i x="79"/>
        <i x="62"/>
        <i x="61"/>
        <i x="59"/>
        <i x="60"/>
        <i x="10"/>
        <i x="41"/>
        <i x="37"/>
        <i x="49"/>
        <i x="36"/>
        <i x="23"/>
        <i x="13"/>
        <i x="94"/>
        <i x="67"/>
        <i x="30"/>
        <i x="93"/>
        <i x="103"/>
        <i x="107"/>
        <i x="105"/>
        <i x="109"/>
        <i x="9"/>
        <i x="33"/>
        <i x="110"/>
        <i x="106"/>
        <i x="108"/>
        <i x="104"/>
        <i x="87"/>
        <i x="19"/>
        <i x="24"/>
        <i x="80"/>
        <i x="32"/>
        <i x="86"/>
        <i x="34"/>
        <i x="18"/>
        <i x="47"/>
        <i x="96"/>
        <i x="97"/>
        <i x="98"/>
        <i x="99"/>
        <i x="100"/>
        <i x="101"/>
        <i x="102"/>
        <i x="38"/>
        <i x="40"/>
        <i x="39"/>
        <i x="46"/>
        <i x="50"/>
        <i x="11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омпания1" sourceName="Компания">
  <pivotTables>
    <pivotTable tabId="11" name="Сводная таблица3"/>
  </pivotTables>
  <data>
    <tabular pivotCacheId="2">
      <items count="11">
        <i x="1" s="1"/>
        <i x="7" s="1"/>
        <i x="5" s="1"/>
        <i x="8" s="1"/>
        <i x="4" s="1"/>
        <i x="9" s="1"/>
        <i x="0" s="1"/>
        <i x="6" s="1"/>
        <i x="2" s="1"/>
        <i x="3" s="1"/>
        <i x="10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Продукция1" sourceName="Продукция">
  <pivotTables>
    <pivotTable tabId="11" name="Сводная таблица3"/>
  </pivotTables>
  <data>
    <tabular pivotCacheId="2">
      <items count="112">
        <i x="35" s="1"/>
        <i x="29" s="1"/>
        <i x="84" s="1"/>
        <i x="71" s="1"/>
        <i x="74" s="1"/>
        <i x="70" s="1"/>
        <i x="68" s="1"/>
        <i x="66" s="1"/>
        <i x="21" s="1"/>
        <i x="58" s="1"/>
        <i x="12" s="1"/>
        <i x="95" s="1"/>
        <i x="90" s="1"/>
        <i x="7" s="1"/>
        <i x="25" s="1"/>
        <i x="26" s="1"/>
        <i x="91" s="1"/>
        <i x="78" s="1"/>
        <i x="77" s="1"/>
        <i x="76" s="1"/>
        <i x="14" s="1"/>
        <i x="56" s="1"/>
        <i x="57" s="1"/>
        <i x="15" s="1"/>
        <i x="92" s="1"/>
        <i x="42" s="1"/>
        <i x="48" s="1"/>
        <i x="43" s="1"/>
        <i x="63" s="1"/>
        <i x="20" s="1"/>
        <i x="83" s="1"/>
        <i x="82" s="1"/>
        <i x="64" s="1"/>
        <i x="11" s="1"/>
        <i x="73" s="1"/>
        <i x="72" s="1"/>
        <i x="69" s="1"/>
        <i x="45" s="1"/>
        <i x="28" s="1"/>
        <i x="31" s="1"/>
        <i x="27" s="1"/>
        <i x="51" s="1"/>
        <i x="85" s="1"/>
        <i x="55" s="1"/>
        <i x="54" s="1"/>
        <i x="53" s="1"/>
        <i x="52" s="1"/>
        <i x="22" s="1"/>
        <i x="8" s="1"/>
        <i x="89" s="1"/>
        <i x="88" s="1"/>
        <i x="17" s="1"/>
        <i x="16" s="1"/>
        <i x="75" s="1"/>
        <i x="44" s="1"/>
        <i x="5" s="1"/>
        <i x="4" s="1"/>
        <i x="3" s="1"/>
        <i x="2" s="1"/>
        <i x="6" s="1"/>
        <i x="0" s="1"/>
        <i x="1" s="1"/>
        <i x="81" s="1"/>
        <i x="65" s="1"/>
        <i x="79" s="1"/>
        <i x="62" s="1"/>
        <i x="61" s="1"/>
        <i x="59" s="1"/>
        <i x="60" s="1"/>
        <i x="10" s="1"/>
        <i x="41" s="1"/>
        <i x="37" s="1"/>
        <i x="49" s="1"/>
        <i x="36" s="1"/>
        <i x="23" s="1"/>
        <i x="13" s="1"/>
        <i x="94" s="1"/>
        <i x="67" s="1"/>
        <i x="30" s="1"/>
        <i x="93" s="1"/>
        <i x="103" s="1"/>
        <i x="107" s="1"/>
        <i x="105" s="1"/>
        <i x="109" s="1"/>
        <i x="9" s="1"/>
        <i x="33" s="1"/>
        <i x="110" s="1"/>
        <i x="106" s="1"/>
        <i x="108" s="1"/>
        <i x="104" s="1"/>
        <i x="87" s="1"/>
        <i x="19" s="1"/>
        <i x="24" s="1"/>
        <i x="80" s="1"/>
        <i x="32" s="1"/>
        <i x="86" s="1"/>
        <i x="34" s="1"/>
        <i x="18" s="1"/>
        <i x="47" s="1"/>
        <i x="96" s="1"/>
        <i x="97" s="1"/>
        <i x="98" s="1"/>
        <i x="99" s="1"/>
        <i x="100" s="1"/>
        <i x="101" s="1"/>
        <i x="102" s="1"/>
        <i x="38" s="1"/>
        <i x="40" s="1"/>
        <i x="39" s="1"/>
        <i x="46" s="1"/>
        <i x="50" s="1"/>
        <i x="11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Компания" cache="Срез_Компания" caption="Компания" rowHeight="234950"/>
  <slicer name="Год" cache="Срез_Год" caption="Год" rowHeight="234950"/>
  <slicer name="Продукция" cache="Срез_Продукция" caption="Продукция" startItem="2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Компания 1" cache="Срез_Компания1" caption="Компания" rowHeight="234950"/>
  <slicer name="Продукция 1" cache="Срез_Продукция1" caption="Продукция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"/>
  <sheetViews>
    <sheetView zoomScale="80" zoomScaleNormal="80" workbookViewId="0">
      <selection activeCell="A380" sqref="A380"/>
    </sheetView>
  </sheetViews>
  <sheetFormatPr defaultRowHeight="14.4" x14ac:dyDescent="0.3"/>
  <cols>
    <col min="1" max="1" width="15.5546875" style="1" customWidth="1"/>
    <col min="2" max="2" width="13.6640625" style="1" customWidth="1"/>
    <col min="3" max="3" width="27.109375" style="1" customWidth="1"/>
    <col min="4" max="4" width="13.6640625" style="1" customWidth="1"/>
    <col min="5" max="5" width="19" style="1" customWidth="1"/>
    <col min="6" max="6" width="23.44140625" style="1" customWidth="1"/>
    <col min="7" max="7" width="28" style="1" customWidth="1"/>
    <col min="8" max="8" width="28.77734375" style="1" customWidth="1"/>
    <col min="9" max="9" width="24.5546875" style="1" customWidth="1"/>
    <col min="10" max="10" width="30.77734375" style="1" customWidth="1"/>
    <col min="11" max="11" width="25.88671875" style="1" customWidth="1"/>
    <col min="12" max="12" width="30.5546875" style="17" customWidth="1"/>
    <col min="13" max="16384" width="8.88671875" style="1"/>
  </cols>
  <sheetData>
    <row r="1" spans="1:12" ht="15.6" x14ac:dyDescent="0.3">
      <c r="A1" s="3" t="s">
        <v>126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127</v>
      </c>
      <c r="H1" s="4" t="s">
        <v>128</v>
      </c>
      <c r="I1" s="12" t="s">
        <v>150</v>
      </c>
      <c r="J1" s="12" t="s">
        <v>148</v>
      </c>
      <c r="K1" s="15" t="s">
        <v>149</v>
      </c>
      <c r="L1" s="16" t="s">
        <v>151</v>
      </c>
    </row>
    <row r="2" spans="1:12" x14ac:dyDescent="0.3">
      <c r="A2" s="1" t="s">
        <v>12</v>
      </c>
      <c r="B2" s="11">
        <v>2022</v>
      </c>
      <c r="C2" s="1" t="s">
        <v>5</v>
      </c>
      <c r="D2" s="2">
        <v>4500</v>
      </c>
      <c r="E2" s="2">
        <v>0</v>
      </c>
      <c r="F2" s="2">
        <f t="shared" ref="F2:F65" si="0">E2*D2</f>
        <v>0</v>
      </c>
      <c r="G2" s="2">
        <v>2750148000</v>
      </c>
      <c r="H2" s="2">
        <v>202576000</v>
      </c>
      <c r="I2" s="1">
        <f>IF(F2&gt;0,H2*(F2/G2),0)</f>
        <v>0</v>
      </c>
      <c r="J2" s="1">
        <f>IF(F2&gt;0,I2/F2*100,0)</f>
        <v>0</v>
      </c>
      <c r="K2" s="1">
        <f>SUMIF(A:A,A2,H:H)</f>
        <v>11208456000</v>
      </c>
      <c r="L2" s="17">
        <f>IF(G2&gt;0,H2/G2*100,0)</f>
        <v>7.3660035750803221</v>
      </c>
    </row>
    <row r="3" spans="1:12" x14ac:dyDescent="0.3">
      <c r="A3" s="1" t="s">
        <v>12</v>
      </c>
      <c r="B3" s="11">
        <v>2022</v>
      </c>
      <c r="C3" s="1" t="s">
        <v>6</v>
      </c>
      <c r="D3" s="2">
        <v>5000</v>
      </c>
      <c r="E3" s="2">
        <v>0</v>
      </c>
      <c r="F3" s="2">
        <f t="shared" si="0"/>
        <v>0</v>
      </c>
      <c r="G3" s="2">
        <v>2750148000</v>
      </c>
      <c r="H3" s="2">
        <v>202576000</v>
      </c>
      <c r="I3" s="1">
        <f t="shared" ref="I3:I66" si="1">IF(F3&gt;0,H3*(F3/G3),0)</f>
        <v>0</v>
      </c>
      <c r="J3" s="1">
        <f t="shared" ref="J3:J66" si="2">IF(F3&gt;0,I3/F3*100,0)</f>
        <v>0</v>
      </c>
      <c r="K3" s="1">
        <f t="shared" ref="K3:K66" si="3">SUMIF(A:A,A3,H:H)</f>
        <v>11208456000</v>
      </c>
      <c r="L3" s="17">
        <f t="shared" ref="L3:L66" si="4">IF(G3&gt;0,H3/G3*100,0)</f>
        <v>7.3660035750803221</v>
      </c>
    </row>
    <row r="4" spans="1:12" x14ac:dyDescent="0.3">
      <c r="A4" s="1" t="s">
        <v>12</v>
      </c>
      <c r="B4" s="11">
        <v>2022</v>
      </c>
      <c r="C4" s="1" t="s">
        <v>7</v>
      </c>
      <c r="D4" s="2">
        <v>8000</v>
      </c>
      <c r="E4" s="2">
        <v>4</v>
      </c>
      <c r="F4" s="2">
        <f t="shared" si="0"/>
        <v>32000</v>
      </c>
      <c r="G4" s="2">
        <v>2750148000</v>
      </c>
      <c r="H4" s="2">
        <v>202576000</v>
      </c>
      <c r="I4" s="1">
        <f t="shared" si="1"/>
        <v>2357.1211440257034</v>
      </c>
      <c r="J4" s="1">
        <f t="shared" si="2"/>
        <v>7.3660035750803239</v>
      </c>
      <c r="K4" s="1">
        <f t="shared" si="3"/>
        <v>11208456000</v>
      </c>
      <c r="L4" s="17">
        <f t="shared" si="4"/>
        <v>7.3660035750803221</v>
      </c>
    </row>
    <row r="5" spans="1:12" x14ac:dyDescent="0.3">
      <c r="A5" s="1" t="s">
        <v>12</v>
      </c>
      <c r="B5" s="11">
        <v>2022</v>
      </c>
      <c r="C5" s="1" t="s">
        <v>8</v>
      </c>
      <c r="D5" s="2">
        <v>8200</v>
      </c>
      <c r="E5" s="2">
        <v>7</v>
      </c>
      <c r="F5" s="2">
        <f t="shared" si="0"/>
        <v>57400</v>
      </c>
      <c r="G5" s="2">
        <v>2750148000</v>
      </c>
      <c r="H5" s="2">
        <v>202576000</v>
      </c>
      <c r="I5" s="1">
        <f t="shared" si="1"/>
        <v>4228.086052096106</v>
      </c>
      <c r="J5" s="1">
        <f t="shared" si="2"/>
        <v>7.3660035750803239</v>
      </c>
      <c r="K5" s="1">
        <f t="shared" si="3"/>
        <v>11208456000</v>
      </c>
      <c r="L5" s="17">
        <f t="shared" si="4"/>
        <v>7.3660035750803221</v>
      </c>
    </row>
    <row r="6" spans="1:12" x14ac:dyDescent="0.3">
      <c r="A6" s="1" t="s">
        <v>12</v>
      </c>
      <c r="B6" s="11">
        <v>2022</v>
      </c>
      <c r="C6" s="1" t="s">
        <v>9</v>
      </c>
      <c r="D6" s="2">
        <v>9500</v>
      </c>
      <c r="E6" s="2">
        <v>9</v>
      </c>
      <c r="F6" s="2">
        <f t="shared" si="0"/>
        <v>85500</v>
      </c>
      <c r="G6" s="2">
        <v>2750148000</v>
      </c>
      <c r="H6" s="2">
        <v>202576000</v>
      </c>
      <c r="I6" s="1">
        <f t="shared" si="1"/>
        <v>6297.9330566936769</v>
      </c>
      <c r="J6" s="1">
        <f t="shared" si="2"/>
        <v>7.3660035750803239</v>
      </c>
      <c r="K6" s="1">
        <f t="shared" si="3"/>
        <v>11208456000</v>
      </c>
      <c r="L6" s="17">
        <f t="shared" si="4"/>
        <v>7.3660035750803221</v>
      </c>
    </row>
    <row r="7" spans="1:12" x14ac:dyDescent="0.3">
      <c r="A7" s="1" t="s">
        <v>12</v>
      </c>
      <c r="B7" s="11">
        <v>2022</v>
      </c>
      <c r="C7" s="1" t="s">
        <v>10</v>
      </c>
      <c r="D7" s="2">
        <v>10000</v>
      </c>
      <c r="E7" s="2">
        <v>9</v>
      </c>
      <c r="F7" s="2">
        <f t="shared" si="0"/>
        <v>90000</v>
      </c>
      <c r="G7" s="2">
        <v>2750148000</v>
      </c>
      <c r="H7" s="2">
        <v>202576000</v>
      </c>
      <c r="I7" s="1">
        <f t="shared" si="1"/>
        <v>6629.4032175722914</v>
      </c>
      <c r="J7" s="1">
        <f t="shared" si="2"/>
        <v>7.3660035750803239</v>
      </c>
      <c r="K7" s="1">
        <f t="shared" si="3"/>
        <v>11208456000</v>
      </c>
      <c r="L7" s="17">
        <f t="shared" si="4"/>
        <v>7.3660035750803221</v>
      </c>
    </row>
    <row r="8" spans="1:12" x14ac:dyDescent="0.3">
      <c r="A8" s="1" t="s">
        <v>12</v>
      </c>
      <c r="B8" s="11">
        <v>2022</v>
      </c>
      <c r="C8" s="1" t="s">
        <v>11</v>
      </c>
      <c r="D8" s="2">
        <v>12500</v>
      </c>
      <c r="E8" s="2">
        <v>22</v>
      </c>
      <c r="F8" s="2">
        <f t="shared" si="0"/>
        <v>275000</v>
      </c>
      <c r="G8" s="2">
        <v>2750148000</v>
      </c>
      <c r="H8" s="2">
        <v>202576000</v>
      </c>
      <c r="I8" s="1">
        <f t="shared" si="1"/>
        <v>20256.509831470888</v>
      </c>
      <c r="J8" s="1">
        <f t="shared" si="2"/>
        <v>7.3660035750803221</v>
      </c>
      <c r="K8" s="1">
        <f t="shared" si="3"/>
        <v>11208456000</v>
      </c>
      <c r="L8" s="17">
        <f t="shared" si="4"/>
        <v>7.3660035750803221</v>
      </c>
    </row>
    <row r="9" spans="1:12" x14ac:dyDescent="0.3">
      <c r="A9" s="1" t="s">
        <v>12</v>
      </c>
      <c r="B9" s="11">
        <v>2023</v>
      </c>
      <c r="C9" s="1" t="s">
        <v>5</v>
      </c>
      <c r="D9" s="2">
        <v>4700</v>
      </c>
      <c r="E9" s="2">
        <v>22</v>
      </c>
      <c r="F9" s="2">
        <f t="shared" si="0"/>
        <v>103400</v>
      </c>
      <c r="G9" s="2">
        <v>1466712000</v>
      </c>
      <c r="H9" s="2">
        <v>681559000</v>
      </c>
      <c r="I9" s="1">
        <f t="shared" si="1"/>
        <v>48048.424366883206</v>
      </c>
      <c r="J9" s="1">
        <f t="shared" si="2"/>
        <v>46.468495519229407</v>
      </c>
      <c r="K9" s="1">
        <f t="shared" si="3"/>
        <v>11208456000</v>
      </c>
      <c r="L9" s="17">
        <f t="shared" si="4"/>
        <v>46.468495519229407</v>
      </c>
    </row>
    <row r="10" spans="1:12" x14ac:dyDescent="0.3">
      <c r="A10" s="1" t="s">
        <v>12</v>
      </c>
      <c r="B10" s="11">
        <v>2023</v>
      </c>
      <c r="C10" s="1" t="s">
        <v>6</v>
      </c>
      <c r="D10" s="2">
        <v>5200</v>
      </c>
      <c r="E10" s="2">
        <v>24</v>
      </c>
      <c r="F10" s="2">
        <f t="shared" si="0"/>
        <v>124800</v>
      </c>
      <c r="G10" s="2">
        <v>1466712000</v>
      </c>
      <c r="H10" s="2">
        <v>681559000</v>
      </c>
      <c r="I10" s="1">
        <f t="shared" si="1"/>
        <v>57992.682407998298</v>
      </c>
      <c r="J10" s="1">
        <f t="shared" si="2"/>
        <v>46.468495519229407</v>
      </c>
      <c r="K10" s="1">
        <f t="shared" si="3"/>
        <v>11208456000</v>
      </c>
      <c r="L10" s="17">
        <f t="shared" si="4"/>
        <v>46.468495519229407</v>
      </c>
    </row>
    <row r="11" spans="1:12" x14ac:dyDescent="0.3">
      <c r="A11" s="1" t="s">
        <v>12</v>
      </c>
      <c r="B11" s="11">
        <v>2023</v>
      </c>
      <c r="C11" s="1" t="s">
        <v>7</v>
      </c>
      <c r="D11" s="2">
        <v>8300</v>
      </c>
      <c r="E11" s="2">
        <v>25</v>
      </c>
      <c r="F11" s="2">
        <f t="shared" si="0"/>
        <v>207500</v>
      </c>
      <c r="G11" s="2">
        <v>1466712000</v>
      </c>
      <c r="H11" s="2">
        <v>681559000</v>
      </c>
      <c r="I11" s="1">
        <f t="shared" si="1"/>
        <v>96422.128202401014</v>
      </c>
      <c r="J11" s="1">
        <f t="shared" si="2"/>
        <v>46.4684955192294</v>
      </c>
      <c r="K11" s="1">
        <f t="shared" si="3"/>
        <v>11208456000</v>
      </c>
      <c r="L11" s="17">
        <f t="shared" si="4"/>
        <v>46.468495519229407</v>
      </c>
    </row>
    <row r="12" spans="1:12" x14ac:dyDescent="0.3">
      <c r="A12" s="1" t="s">
        <v>12</v>
      </c>
      <c r="B12" s="11">
        <v>2023</v>
      </c>
      <c r="C12" s="1" t="s">
        <v>8</v>
      </c>
      <c r="D12" s="2">
        <v>8500</v>
      </c>
      <c r="E12" s="2">
        <v>25</v>
      </c>
      <c r="F12" s="2">
        <f t="shared" si="0"/>
        <v>212500</v>
      </c>
      <c r="G12" s="2">
        <v>1466712000</v>
      </c>
      <c r="H12" s="2">
        <v>681559000</v>
      </c>
      <c r="I12" s="1">
        <f t="shared" si="1"/>
        <v>98745.552978362481</v>
      </c>
      <c r="J12" s="1">
        <f t="shared" si="2"/>
        <v>46.4684955192294</v>
      </c>
      <c r="K12" s="1">
        <f t="shared" si="3"/>
        <v>11208456000</v>
      </c>
      <c r="L12" s="17">
        <f t="shared" si="4"/>
        <v>46.468495519229407</v>
      </c>
    </row>
    <row r="13" spans="1:12" x14ac:dyDescent="0.3">
      <c r="A13" s="1" t="s">
        <v>12</v>
      </c>
      <c r="B13" s="11">
        <v>2023</v>
      </c>
      <c r="C13" s="1" t="s">
        <v>9</v>
      </c>
      <c r="D13" s="2">
        <v>9800</v>
      </c>
      <c r="E13" s="2">
        <v>27</v>
      </c>
      <c r="F13" s="2">
        <f t="shared" si="0"/>
        <v>264600</v>
      </c>
      <c r="G13" s="2">
        <v>1466712000</v>
      </c>
      <c r="H13" s="2">
        <v>681559000</v>
      </c>
      <c r="I13" s="1">
        <f t="shared" si="1"/>
        <v>122955.63914388101</v>
      </c>
      <c r="J13" s="1">
        <f t="shared" si="2"/>
        <v>46.468495519229407</v>
      </c>
      <c r="K13" s="1">
        <f t="shared" si="3"/>
        <v>11208456000</v>
      </c>
      <c r="L13" s="17">
        <f t="shared" si="4"/>
        <v>46.468495519229407</v>
      </c>
    </row>
    <row r="14" spans="1:12" x14ac:dyDescent="0.3">
      <c r="A14" s="1" t="s">
        <v>12</v>
      </c>
      <c r="B14" s="11">
        <v>2023</v>
      </c>
      <c r="C14" s="1" t="s">
        <v>10</v>
      </c>
      <c r="D14" s="2">
        <v>10200</v>
      </c>
      <c r="E14" s="2">
        <v>28</v>
      </c>
      <c r="F14" s="2">
        <f t="shared" si="0"/>
        <v>285600</v>
      </c>
      <c r="G14" s="2">
        <v>1466712000</v>
      </c>
      <c r="H14" s="2">
        <v>681559000</v>
      </c>
      <c r="I14" s="1">
        <f t="shared" si="1"/>
        <v>132714.02320291917</v>
      </c>
      <c r="J14" s="1">
        <f t="shared" si="2"/>
        <v>46.4684955192294</v>
      </c>
      <c r="K14" s="1">
        <f t="shared" si="3"/>
        <v>11208456000</v>
      </c>
      <c r="L14" s="17">
        <f t="shared" si="4"/>
        <v>46.468495519229407</v>
      </c>
    </row>
    <row r="15" spans="1:12" x14ac:dyDescent="0.3">
      <c r="A15" s="1" t="s">
        <v>12</v>
      </c>
      <c r="B15" s="11">
        <v>2023</v>
      </c>
      <c r="C15" s="1" t="s">
        <v>11</v>
      </c>
      <c r="D15" s="2">
        <v>13000</v>
      </c>
      <c r="E15" s="2">
        <v>29</v>
      </c>
      <c r="F15" s="2">
        <f t="shared" si="0"/>
        <v>377000</v>
      </c>
      <c r="G15" s="2">
        <v>1466712000</v>
      </c>
      <c r="H15" s="2">
        <v>681559000</v>
      </c>
      <c r="I15" s="1">
        <f t="shared" si="1"/>
        <v>175186.22810749488</v>
      </c>
      <c r="J15" s="1">
        <f t="shared" si="2"/>
        <v>46.468495519229414</v>
      </c>
      <c r="K15" s="1">
        <f t="shared" si="3"/>
        <v>11208456000</v>
      </c>
      <c r="L15" s="17">
        <f t="shared" si="4"/>
        <v>46.468495519229407</v>
      </c>
    </row>
    <row r="16" spans="1:12" x14ac:dyDescent="0.3">
      <c r="A16" s="1" t="s">
        <v>12</v>
      </c>
      <c r="B16" s="11">
        <v>2024</v>
      </c>
      <c r="C16" s="1" t="s">
        <v>5</v>
      </c>
      <c r="D16" s="2">
        <v>4800</v>
      </c>
      <c r="E16" s="2">
        <v>29</v>
      </c>
      <c r="F16" s="2">
        <f t="shared" si="0"/>
        <v>139200</v>
      </c>
      <c r="G16" s="2">
        <v>1156276000</v>
      </c>
      <c r="H16" s="2">
        <v>717073000</v>
      </c>
      <c r="I16" s="1">
        <f t="shared" si="1"/>
        <v>86325.895893368026</v>
      </c>
      <c r="J16" s="1">
        <f t="shared" si="2"/>
        <v>62.015729808454047</v>
      </c>
      <c r="K16" s="1">
        <f t="shared" si="3"/>
        <v>11208456000</v>
      </c>
      <c r="L16" s="17">
        <f t="shared" si="4"/>
        <v>62.015729808454033</v>
      </c>
    </row>
    <row r="17" spans="1:12" x14ac:dyDescent="0.3">
      <c r="A17" s="1" t="s">
        <v>12</v>
      </c>
      <c r="B17" s="11">
        <v>2024</v>
      </c>
      <c r="C17" s="1" t="s">
        <v>6</v>
      </c>
      <c r="D17" s="2">
        <v>5300</v>
      </c>
      <c r="E17" s="2">
        <v>31</v>
      </c>
      <c r="F17" s="2">
        <f t="shared" si="0"/>
        <v>164300</v>
      </c>
      <c r="G17" s="2">
        <v>1156276000</v>
      </c>
      <c r="H17" s="2">
        <v>717073000</v>
      </c>
      <c r="I17" s="1">
        <f t="shared" si="1"/>
        <v>101891.84407528998</v>
      </c>
      <c r="J17" s="1">
        <f t="shared" si="2"/>
        <v>62.015729808454033</v>
      </c>
      <c r="K17" s="1">
        <f t="shared" si="3"/>
        <v>11208456000</v>
      </c>
      <c r="L17" s="17">
        <f t="shared" si="4"/>
        <v>62.015729808454033</v>
      </c>
    </row>
    <row r="18" spans="1:12" x14ac:dyDescent="0.3">
      <c r="A18" s="1" t="s">
        <v>12</v>
      </c>
      <c r="B18" s="11">
        <v>2024</v>
      </c>
      <c r="C18" s="1" t="s">
        <v>7</v>
      </c>
      <c r="D18" s="2">
        <v>8500</v>
      </c>
      <c r="E18" s="2">
        <v>31</v>
      </c>
      <c r="F18" s="2">
        <f t="shared" si="0"/>
        <v>263500</v>
      </c>
      <c r="G18" s="2">
        <v>1156276000</v>
      </c>
      <c r="H18" s="2">
        <v>717073000</v>
      </c>
      <c r="I18" s="1">
        <f t="shared" si="1"/>
        <v>163411.4480452764</v>
      </c>
      <c r="J18" s="1">
        <f t="shared" si="2"/>
        <v>62.015729808454047</v>
      </c>
      <c r="K18" s="1">
        <f t="shared" si="3"/>
        <v>11208456000</v>
      </c>
      <c r="L18" s="17">
        <f t="shared" si="4"/>
        <v>62.015729808454033</v>
      </c>
    </row>
    <row r="19" spans="1:12" x14ac:dyDescent="0.3">
      <c r="A19" s="1" t="s">
        <v>12</v>
      </c>
      <c r="B19" s="11">
        <v>2024</v>
      </c>
      <c r="C19" s="1" t="s">
        <v>8</v>
      </c>
      <c r="D19" s="2">
        <v>8700</v>
      </c>
      <c r="E19" s="2">
        <v>33</v>
      </c>
      <c r="F19" s="2">
        <f t="shared" si="0"/>
        <v>287100</v>
      </c>
      <c r="G19" s="2">
        <v>1156276000</v>
      </c>
      <c r="H19" s="2">
        <v>717073000</v>
      </c>
      <c r="I19" s="1">
        <f t="shared" si="1"/>
        <v>178047.16028007155</v>
      </c>
      <c r="J19" s="1">
        <f t="shared" si="2"/>
        <v>62.015729808454033</v>
      </c>
      <c r="K19" s="1">
        <f t="shared" si="3"/>
        <v>11208456000</v>
      </c>
      <c r="L19" s="17">
        <f t="shared" si="4"/>
        <v>62.015729808454033</v>
      </c>
    </row>
    <row r="20" spans="1:12" x14ac:dyDescent="0.3">
      <c r="A20" s="1" t="s">
        <v>12</v>
      </c>
      <c r="B20" s="11">
        <v>2024</v>
      </c>
      <c r="C20" s="1" t="s">
        <v>9</v>
      </c>
      <c r="D20" s="2">
        <v>10000</v>
      </c>
      <c r="E20" s="2">
        <v>34</v>
      </c>
      <c r="F20" s="2">
        <f t="shared" si="0"/>
        <v>340000</v>
      </c>
      <c r="G20" s="2">
        <v>1156276000</v>
      </c>
      <c r="H20" s="2">
        <v>717073000</v>
      </c>
      <c r="I20" s="1">
        <f t="shared" si="1"/>
        <v>210853.48134874372</v>
      </c>
      <c r="J20" s="1">
        <f t="shared" si="2"/>
        <v>62.015729808454033</v>
      </c>
      <c r="K20" s="1">
        <f t="shared" si="3"/>
        <v>11208456000</v>
      </c>
      <c r="L20" s="17">
        <f t="shared" si="4"/>
        <v>62.015729808454033</v>
      </c>
    </row>
    <row r="21" spans="1:12" x14ac:dyDescent="0.3">
      <c r="A21" s="1" t="s">
        <v>12</v>
      </c>
      <c r="B21" s="11">
        <v>2024</v>
      </c>
      <c r="C21" s="1" t="s">
        <v>10</v>
      </c>
      <c r="D21" s="2">
        <v>10500</v>
      </c>
      <c r="E21" s="2">
        <v>35</v>
      </c>
      <c r="F21" s="2">
        <f t="shared" si="0"/>
        <v>367500</v>
      </c>
      <c r="G21" s="2">
        <v>1156276000</v>
      </c>
      <c r="H21" s="2">
        <v>717073000</v>
      </c>
      <c r="I21" s="1">
        <f t="shared" si="1"/>
        <v>227907.8070460686</v>
      </c>
      <c r="J21" s="1">
        <f t="shared" si="2"/>
        <v>62.015729808454047</v>
      </c>
      <c r="K21" s="1">
        <f t="shared" si="3"/>
        <v>11208456000</v>
      </c>
      <c r="L21" s="17">
        <f t="shared" si="4"/>
        <v>62.015729808454033</v>
      </c>
    </row>
    <row r="22" spans="1:12" x14ac:dyDescent="0.3">
      <c r="A22" s="1" t="s">
        <v>12</v>
      </c>
      <c r="B22" s="11">
        <v>2024</v>
      </c>
      <c r="C22" s="1" t="s">
        <v>11</v>
      </c>
      <c r="D22" s="2">
        <v>13200</v>
      </c>
      <c r="E22" s="2">
        <v>35</v>
      </c>
      <c r="F22" s="2">
        <f t="shared" si="0"/>
        <v>462000</v>
      </c>
      <c r="G22" s="2">
        <v>1156276000</v>
      </c>
      <c r="H22" s="2">
        <v>717073000</v>
      </c>
      <c r="I22" s="1">
        <f t="shared" si="1"/>
        <v>286512.67171505769</v>
      </c>
      <c r="J22" s="1">
        <f t="shared" si="2"/>
        <v>62.015729808454047</v>
      </c>
      <c r="K22" s="1">
        <f t="shared" si="3"/>
        <v>11208456000</v>
      </c>
      <c r="L22" s="17">
        <f t="shared" si="4"/>
        <v>62.015729808454033</v>
      </c>
    </row>
    <row r="23" spans="1:12" x14ac:dyDescent="0.3">
      <c r="A23" s="1" t="s">
        <v>13</v>
      </c>
      <c r="B23" s="11">
        <v>2022</v>
      </c>
      <c r="C23" s="1" t="s">
        <v>14</v>
      </c>
      <c r="D23" s="2">
        <v>18478</v>
      </c>
      <c r="E23" s="2">
        <v>35</v>
      </c>
      <c r="F23" s="2">
        <f t="shared" si="0"/>
        <v>646730</v>
      </c>
      <c r="G23" s="2">
        <v>1155052000</v>
      </c>
      <c r="H23" s="2">
        <v>103569000</v>
      </c>
      <c r="I23" s="1">
        <f t="shared" si="1"/>
        <v>57989.752296866289</v>
      </c>
      <c r="J23" s="1">
        <f t="shared" si="2"/>
        <v>8.966609295512237</v>
      </c>
      <c r="K23" s="1">
        <f t="shared" si="3"/>
        <v>2214107000</v>
      </c>
      <c r="L23" s="17">
        <f t="shared" si="4"/>
        <v>8.966609295512237</v>
      </c>
    </row>
    <row r="24" spans="1:12" x14ac:dyDescent="0.3">
      <c r="A24" s="1" t="s">
        <v>13</v>
      </c>
      <c r="B24" s="11">
        <v>2022</v>
      </c>
      <c r="C24" s="1" t="s">
        <v>15</v>
      </c>
      <c r="D24" s="2">
        <v>9788</v>
      </c>
      <c r="E24" s="2">
        <v>39</v>
      </c>
      <c r="F24" s="2">
        <f t="shared" si="0"/>
        <v>381732</v>
      </c>
      <c r="G24" s="2">
        <v>1155052000</v>
      </c>
      <c r="H24" s="2">
        <v>103569000</v>
      </c>
      <c r="I24" s="1">
        <f t="shared" si="1"/>
        <v>34228.416995944775</v>
      </c>
      <c r="J24" s="1">
        <f t="shared" si="2"/>
        <v>8.966609295512237</v>
      </c>
      <c r="K24" s="1">
        <f t="shared" si="3"/>
        <v>2214107000</v>
      </c>
      <c r="L24" s="17">
        <f t="shared" si="4"/>
        <v>8.966609295512237</v>
      </c>
    </row>
    <row r="25" spans="1:12" x14ac:dyDescent="0.3">
      <c r="A25" s="1" t="s">
        <v>13</v>
      </c>
      <c r="B25" s="11">
        <v>2022</v>
      </c>
      <c r="C25" s="1" t="s">
        <v>16</v>
      </c>
      <c r="D25" s="2">
        <v>11189</v>
      </c>
      <c r="E25" s="2">
        <v>39</v>
      </c>
      <c r="F25" s="2">
        <f t="shared" si="0"/>
        <v>436371</v>
      </c>
      <c r="G25" s="2">
        <v>1155052000</v>
      </c>
      <c r="H25" s="2">
        <v>103569000</v>
      </c>
      <c r="I25" s="1">
        <f t="shared" si="1"/>
        <v>39127.682648919697</v>
      </c>
      <c r="J25" s="1">
        <f t="shared" si="2"/>
        <v>8.9666092955122352</v>
      </c>
      <c r="K25" s="1">
        <f t="shared" si="3"/>
        <v>2214107000</v>
      </c>
      <c r="L25" s="17">
        <f t="shared" si="4"/>
        <v>8.966609295512237</v>
      </c>
    </row>
    <row r="26" spans="1:12" x14ac:dyDescent="0.3">
      <c r="A26" s="1" t="s">
        <v>13</v>
      </c>
      <c r="B26" s="11">
        <v>2022</v>
      </c>
      <c r="C26" s="1" t="s">
        <v>17</v>
      </c>
      <c r="D26" s="2">
        <v>6492</v>
      </c>
      <c r="E26" s="2">
        <v>39</v>
      </c>
      <c r="F26" s="2">
        <f t="shared" si="0"/>
        <v>253188</v>
      </c>
      <c r="G26" s="2">
        <v>1155052000</v>
      </c>
      <c r="H26" s="2">
        <v>103569000</v>
      </c>
      <c r="I26" s="1">
        <f t="shared" si="1"/>
        <v>22702.378743121521</v>
      </c>
      <c r="J26" s="1">
        <f t="shared" si="2"/>
        <v>8.9666092955122352</v>
      </c>
      <c r="K26" s="1">
        <f t="shared" si="3"/>
        <v>2214107000</v>
      </c>
      <c r="L26" s="17">
        <f t="shared" si="4"/>
        <v>8.966609295512237</v>
      </c>
    </row>
    <row r="27" spans="1:12" x14ac:dyDescent="0.3">
      <c r="A27" s="1" t="s">
        <v>13</v>
      </c>
      <c r="B27" s="11">
        <v>2022</v>
      </c>
      <c r="C27" s="1" t="s">
        <v>18</v>
      </c>
      <c r="D27" s="2">
        <v>5193</v>
      </c>
      <c r="E27" s="2">
        <v>40</v>
      </c>
      <c r="F27" s="2">
        <f t="shared" si="0"/>
        <v>207720</v>
      </c>
      <c r="G27" s="2">
        <v>1155052000</v>
      </c>
      <c r="H27" s="2">
        <v>103569000</v>
      </c>
      <c r="I27" s="1">
        <f t="shared" si="1"/>
        <v>18625.440828638017</v>
      </c>
      <c r="J27" s="1">
        <f t="shared" si="2"/>
        <v>8.9666092955122352</v>
      </c>
      <c r="K27" s="1">
        <f t="shared" si="3"/>
        <v>2214107000</v>
      </c>
      <c r="L27" s="17">
        <f t="shared" si="4"/>
        <v>8.966609295512237</v>
      </c>
    </row>
    <row r="28" spans="1:12" x14ac:dyDescent="0.3">
      <c r="A28" s="1" t="s">
        <v>13</v>
      </c>
      <c r="B28" s="11">
        <v>2022</v>
      </c>
      <c r="C28" s="1" t="s">
        <v>19</v>
      </c>
      <c r="D28" s="2">
        <v>8090</v>
      </c>
      <c r="E28" s="2">
        <v>44</v>
      </c>
      <c r="F28" s="2">
        <f t="shared" si="0"/>
        <v>355960</v>
      </c>
      <c r="G28" s="2">
        <v>1155052000</v>
      </c>
      <c r="H28" s="2">
        <v>103569000</v>
      </c>
      <c r="I28" s="1">
        <f t="shared" si="1"/>
        <v>31917.542448305361</v>
      </c>
      <c r="J28" s="1">
        <f t="shared" si="2"/>
        <v>8.966609295512237</v>
      </c>
      <c r="K28" s="1">
        <f t="shared" si="3"/>
        <v>2214107000</v>
      </c>
      <c r="L28" s="17">
        <f t="shared" si="4"/>
        <v>8.966609295512237</v>
      </c>
    </row>
    <row r="29" spans="1:12" x14ac:dyDescent="0.3">
      <c r="A29" s="1" t="s">
        <v>13</v>
      </c>
      <c r="B29" s="11">
        <v>2022</v>
      </c>
      <c r="C29" s="1" t="s">
        <v>20</v>
      </c>
      <c r="D29" s="2">
        <v>4296</v>
      </c>
      <c r="E29" s="2">
        <v>46</v>
      </c>
      <c r="F29" s="2">
        <f t="shared" si="0"/>
        <v>197616</v>
      </c>
      <c r="G29" s="2">
        <v>1155052000</v>
      </c>
      <c r="H29" s="2">
        <v>103569000</v>
      </c>
      <c r="I29" s="1">
        <f t="shared" si="1"/>
        <v>17719.454625419461</v>
      </c>
      <c r="J29" s="1">
        <f t="shared" si="2"/>
        <v>8.9666092955122352</v>
      </c>
      <c r="K29" s="1">
        <f t="shared" si="3"/>
        <v>2214107000</v>
      </c>
      <c r="L29" s="17">
        <f t="shared" si="4"/>
        <v>8.966609295512237</v>
      </c>
    </row>
    <row r="30" spans="1:12" x14ac:dyDescent="0.3">
      <c r="A30" s="1" t="s">
        <v>13</v>
      </c>
      <c r="B30" s="11">
        <v>2023</v>
      </c>
      <c r="C30" s="1" t="s">
        <v>14</v>
      </c>
      <c r="D30" s="2">
        <v>19200</v>
      </c>
      <c r="E30" s="2">
        <v>46</v>
      </c>
      <c r="F30" s="2">
        <f t="shared" si="0"/>
        <v>883200</v>
      </c>
      <c r="G30" s="2">
        <v>1568018000</v>
      </c>
      <c r="H30" s="2">
        <v>133969000</v>
      </c>
      <c r="I30" s="1">
        <f t="shared" si="1"/>
        <v>75459.223554831638</v>
      </c>
      <c r="J30" s="1">
        <f t="shared" si="2"/>
        <v>8.5438432466974223</v>
      </c>
      <c r="K30" s="1">
        <f t="shared" si="3"/>
        <v>2214107000</v>
      </c>
      <c r="L30" s="17">
        <f t="shared" si="4"/>
        <v>8.5438432466974223</v>
      </c>
    </row>
    <row r="31" spans="1:12" x14ac:dyDescent="0.3">
      <c r="A31" s="1" t="s">
        <v>13</v>
      </c>
      <c r="B31" s="11">
        <v>2023</v>
      </c>
      <c r="C31" s="1" t="s">
        <v>15</v>
      </c>
      <c r="D31" s="2">
        <v>10500</v>
      </c>
      <c r="E31" s="2">
        <v>48</v>
      </c>
      <c r="F31" s="2">
        <f t="shared" si="0"/>
        <v>504000</v>
      </c>
      <c r="G31" s="2">
        <v>1568018000</v>
      </c>
      <c r="H31" s="2">
        <v>133969000</v>
      </c>
      <c r="I31" s="1">
        <f t="shared" si="1"/>
        <v>43060.969963355012</v>
      </c>
      <c r="J31" s="1">
        <f t="shared" si="2"/>
        <v>8.5438432466974223</v>
      </c>
      <c r="K31" s="1">
        <f t="shared" si="3"/>
        <v>2214107000</v>
      </c>
      <c r="L31" s="17">
        <f t="shared" si="4"/>
        <v>8.5438432466974223</v>
      </c>
    </row>
    <row r="32" spans="1:12" x14ac:dyDescent="0.3">
      <c r="A32" s="1" t="s">
        <v>13</v>
      </c>
      <c r="B32" s="11">
        <v>2023</v>
      </c>
      <c r="C32" s="1" t="s">
        <v>16</v>
      </c>
      <c r="D32" s="2">
        <v>11800</v>
      </c>
      <c r="E32" s="2">
        <v>49</v>
      </c>
      <c r="F32" s="2">
        <f t="shared" si="0"/>
        <v>578200</v>
      </c>
      <c r="G32" s="2">
        <v>1568018000</v>
      </c>
      <c r="H32" s="2">
        <v>133969000</v>
      </c>
      <c r="I32" s="1">
        <f t="shared" si="1"/>
        <v>49400.501652404499</v>
      </c>
      <c r="J32" s="1">
        <f t="shared" si="2"/>
        <v>8.5438432466974223</v>
      </c>
      <c r="K32" s="1">
        <f t="shared" si="3"/>
        <v>2214107000</v>
      </c>
      <c r="L32" s="17">
        <f t="shared" si="4"/>
        <v>8.5438432466974223</v>
      </c>
    </row>
    <row r="33" spans="1:12" x14ac:dyDescent="0.3">
      <c r="A33" s="1" t="s">
        <v>13</v>
      </c>
      <c r="B33" s="11">
        <v>2023</v>
      </c>
      <c r="C33" s="1" t="s">
        <v>17</v>
      </c>
      <c r="D33" s="2">
        <v>6900</v>
      </c>
      <c r="E33" s="2">
        <v>52</v>
      </c>
      <c r="F33" s="2">
        <f t="shared" si="0"/>
        <v>358800</v>
      </c>
      <c r="G33" s="2">
        <v>1568018000</v>
      </c>
      <c r="H33" s="2">
        <v>133969000</v>
      </c>
      <c r="I33" s="1">
        <f t="shared" si="1"/>
        <v>30655.309569150351</v>
      </c>
      <c r="J33" s="1">
        <f t="shared" si="2"/>
        <v>8.5438432466974223</v>
      </c>
      <c r="K33" s="1">
        <f t="shared" si="3"/>
        <v>2214107000</v>
      </c>
      <c r="L33" s="17">
        <f t="shared" si="4"/>
        <v>8.5438432466974223</v>
      </c>
    </row>
    <row r="34" spans="1:12" x14ac:dyDescent="0.3">
      <c r="A34" s="1" t="s">
        <v>13</v>
      </c>
      <c r="B34" s="11">
        <v>2023</v>
      </c>
      <c r="C34" s="1" t="s">
        <v>18</v>
      </c>
      <c r="D34" s="2">
        <v>5500</v>
      </c>
      <c r="E34" s="2">
        <v>54</v>
      </c>
      <c r="F34" s="2">
        <f t="shared" si="0"/>
        <v>297000</v>
      </c>
      <c r="G34" s="2">
        <v>1568018000</v>
      </c>
      <c r="H34" s="2">
        <v>133969000</v>
      </c>
      <c r="I34" s="1">
        <f t="shared" si="1"/>
        <v>25375.214442691344</v>
      </c>
      <c r="J34" s="1">
        <f t="shared" si="2"/>
        <v>8.5438432466974223</v>
      </c>
      <c r="K34" s="1">
        <f t="shared" si="3"/>
        <v>2214107000</v>
      </c>
      <c r="L34" s="17">
        <f t="shared" si="4"/>
        <v>8.5438432466974223</v>
      </c>
    </row>
    <row r="35" spans="1:12" x14ac:dyDescent="0.3">
      <c r="A35" s="1" t="s">
        <v>13</v>
      </c>
      <c r="B35" s="11">
        <v>2023</v>
      </c>
      <c r="C35" s="1" t="s">
        <v>19</v>
      </c>
      <c r="D35" s="2">
        <v>8600</v>
      </c>
      <c r="E35" s="2">
        <v>55</v>
      </c>
      <c r="F35" s="2">
        <f t="shared" si="0"/>
        <v>473000</v>
      </c>
      <c r="G35" s="2">
        <v>1568018000</v>
      </c>
      <c r="H35" s="2">
        <v>133969000</v>
      </c>
      <c r="I35" s="1">
        <f t="shared" si="1"/>
        <v>40412.378556878808</v>
      </c>
      <c r="J35" s="1">
        <f t="shared" si="2"/>
        <v>8.5438432466974223</v>
      </c>
      <c r="K35" s="1">
        <f t="shared" si="3"/>
        <v>2214107000</v>
      </c>
      <c r="L35" s="17">
        <f t="shared" si="4"/>
        <v>8.5438432466974223</v>
      </c>
    </row>
    <row r="36" spans="1:12" x14ac:dyDescent="0.3">
      <c r="A36" s="1" t="s">
        <v>13</v>
      </c>
      <c r="B36" s="11">
        <v>2023</v>
      </c>
      <c r="C36" s="1" t="s">
        <v>20</v>
      </c>
      <c r="D36" s="2">
        <v>4600</v>
      </c>
      <c r="E36" s="2">
        <v>61</v>
      </c>
      <c r="F36" s="2">
        <f t="shared" si="0"/>
        <v>280600</v>
      </c>
      <c r="G36" s="2">
        <v>1568018000</v>
      </c>
      <c r="H36" s="2">
        <v>133969000</v>
      </c>
      <c r="I36" s="1">
        <f t="shared" si="1"/>
        <v>23974.02415023297</v>
      </c>
      <c r="J36" s="1">
        <f t="shared" si="2"/>
        <v>8.5438432466974223</v>
      </c>
      <c r="K36" s="1">
        <f t="shared" si="3"/>
        <v>2214107000</v>
      </c>
      <c r="L36" s="17">
        <f t="shared" si="4"/>
        <v>8.5438432466974223</v>
      </c>
    </row>
    <row r="37" spans="1:12" x14ac:dyDescent="0.3">
      <c r="A37" s="1" t="s">
        <v>13</v>
      </c>
      <c r="B37" s="11">
        <v>2024</v>
      </c>
      <c r="C37" s="1" t="s">
        <v>14</v>
      </c>
      <c r="D37" s="2">
        <v>20000</v>
      </c>
      <c r="E37" s="2">
        <v>61</v>
      </c>
      <c r="F37" s="2">
        <f t="shared" si="0"/>
        <v>1220000</v>
      </c>
      <c r="G37" s="2">
        <v>1992795000</v>
      </c>
      <c r="H37" s="2">
        <v>78763000</v>
      </c>
      <c r="I37" s="1">
        <f t="shared" si="1"/>
        <v>48219.139449868147</v>
      </c>
      <c r="J37" s="1">
        <f t="shared" si="2"/>
        <v>3.9523884794973894</v>
      </c>
      <c r="K37" s="1">
        <f t="shared" si="3"/>
        <v>2214107000</v>
      </c>
      <c r="L37" s="17">
        <f t="shared" si="4"/>
        <v>3.9523884794973894</v>
      </c>
    </row>
    <row r="38" spans="1:12" x14ac:dyDescent="0.3">
      <c r="A38" s="1" t="s">
        <v>13</v>
      </c>
      <c r="B38" s="11">
        <v>2024</v>
      </c>
      <c r="C38" s="1" t="s">
        <v>15</v>
      </c>
      <c r="D38" s="2">
        <v>11200</v>
      </c>
      <c r="E38" s="2">
        <v>68</v>
      </c>
      <c r="F38" s="2">
        <f t="shared" si="0"/>
        <v>761600</v>
      </c>
      <c r="G38" s="2">
        <v>1992795000</v>
      </c>
      <c r="H38" s="2">
        <v>78763000</v>
      </c>
      <c r="I38" s="1">
        <f t="shared" si="1"/>
        <v>30101.390659852117</v>
      </c>
      <c r="J38" s="1">
        <f t="shared" si="2"/>
        <v>3.9523884794973894</v>
      </c>
      <c r="K38" s="1">
        <f t="shared" si="3"/>
        <v>2214107000</v>
      </c>
      <c r="L38" s="17">
        <f t="shared" si="4"/>
        <v>3.9523884794973894</v>
      </c>
    </row>
    <row r="39" spans="1:12" x14ac:dyDescent="0.3">
      <c r="A39" s="1" t="s">
        <v>13</v>
      </c>
      <c r="B39" s="11">
        <v>2024</v>
      </c>
      <c r="C39" s="1" t="s">
        <v>16</v>
      </c>
      <c r="D39" s="2">
        <v>12500</v>
      </c>
      <c r="E39" s="2">
        <v>71</v>
      </c>
      <c r="F39" s="2">
        <f t="shared" si="0"/>
        <v>887500</v>
      </c>
      <c r="G39" s="2">
        <v>1992795000</v>
      </c>
      <c r="H39" s="2">
        <v>78763000</v>
      </c>
      <c r="I39" s="1">
        <f t="shared" si="1"/>
        <v>35077.447755539331</v>
      </c>
      <c r="J39" s="1">
        <f t="shared" si="2"/>
        <v>3.9523884794973894</v>
      </c>
      <c r="K39" s="1">
        <f t="shared" si="3"/>
        <v>2214107000</v>
      </c>
      <c r="L39" s="17">
        <f t="shared" si="4"/>
        <v>3.9523884794973894</v>
      </c>
    </row>
    <row r="40" spans="1:12" x14ac:dyDescent="0.3">
      <c r="A40" s="1" t="s">
        <v>13</v>
      </c>
      <c r="B40" s="11">
        <v>2024</v>
      </c>
      <c r="C40" s="1" t="s">
        <v>17</v>
      </c>
      <c r="D40" s="2">
        <v>7400</v>
      </c>
      <c r="E40" s="2">
        <v>81</v>
      </c>
      <c r="F40" s="2">
        <f t="shared" si="0"/>
        <v>599400</v>
      </c>
      <c r="G40" s="2">
        <v>1992795000</v>
      </c>
      <c r="H40" s="2">
        <v>78763000</v>
      </c>
      <c r="I40" s="1">
        <f t="shared" si="1"/>
        <v>23690.616546107351</v>
      </c>
      <c r="J40" s="1">
        <f t="shared" si="2"/>
        <v>3.9523884794973894</v>
      </c>
      <c r="K40" s="1">
        <f t="shared" si="3"/>
        <v>2214107000</v>
      </c>
      <c r="L40" s="17">
        <f t="shared" si="4"/>
        <v>3.9523884794973894</v>
      </c>
    </row>
    <row r="41" spans="1:12" x14ac:dyDescent="0.3">
      <c r="A41" s="1" t="s">
        <v>13</v>
      </c>
      <c r="B41" s="11">
        <v>2024</v>
      </c>
      <c r="C41" s="1" t="s">
        <v>18</v>
      </c>
      <c r="D41" s="2">
        <v>5800</v>
      </c>
      <c r="E41" s="2">
        <v>88</v>
      </c>
      <c r="F41" s="2">
        <f t="shared" si="0"/>
        <v>510400</v>
      </c>
      <c r="G41" s="2">
        <v>1992795000</v>
      </c>
      <c r="H41" s="2">
        <v>78763000</v>
      </c>
      <c r="I41" s="1">
        <f t="shared" si="1"/>
        <v>20172.990799354677</v>
      </c>
      <c r="J41" s="1">
        <f t="shared" si="2"/>
        <v>3.9523884794973894</v>
      </c>
      <c r="K41" s="1">
        <f t="shared" si="3"/>
        <v>2214107000</v>
      </c>
      <c r="L41" s="17">
        <f t="shared" si="4"/>
        <v>3.9523884794973894</v>
      </c>
    </row>
    <row r="42" spans="1:12" x14ac:dyDescent="0.3">
      <c r="A42" s="1" t="s">
        <v>13</v>
      </c>
      <c r="B42" s="11">
        <v>2024</v>
      </c>
      <c r="C42" s="1" t="s">
        <v>19</v>
      </c>
      <c r="D42" s="2">
        <v>9100</v>
      </c>
      <c r="E42" s="2">
        <v>90</v>
      </c>
      <c r="F42" s="2">
        <f t="shared" si="0"/>
        <v>819000</v>
      </c>
      <c r="G42" s="2">
        <v>1992795000</v>
      </c>
      <c r="H42" s="2">
        <v>78763000</v>
      </c>
      <c r="I42" s="1">
        <f t="shared" si="1"/>
        <v>32370.061647083618</v>
      </c>
      <c r="J42" s="1">
        <f t="shared" si="2"/>
        <v>3.9523884794973894</v>
      </c>
      <c r="K42" s="1">
        <f t="shared" si="3"/>
        <v>2214107000</v>
      </c>
      <c r="L42" s="17">
        <f t="shared" si="4"/>
        <v>3.9523884794973894</v>
      </c>
    </row>
    <row r="43" spans="1:12" x14ac:dyDescent="0.3">
      <c r="A43" s="1" t="s">
        <v>13</v>
      </c>
      <c r="B43" s="11">
        <v>2024</v>
      </c>
      <c r="C43" s="1" t="s">
        <v>20</v>
      </c>
      <c r="D43" s="2">
        <v>4900</v>
      </c>
      <c r="E43" s="2">
        <v>97</v>
      </c>
      <c r="F43" s="2">
        <f t="shared" si="0"/>
        <v>475300</v>
      </c>
      <c r="G43" s="2">
        <v>1992795000</v>
      </c>
      <c r="H43" s="2">
        <v>78763000</v>
      </c>
      <c r="I43" s="1">
        <f t="shared" si="1"/>
        <v>18785.70244305109</v>
      </c>
      <c r="J43" s="1">
        <f t="shared" si="2"/>
        <v>3.9523884794973889</v>
      </c>
      <c r="K43" s="1">
        <f t="shared" si="3"/>
        <v>2214107000</v>
      </c>
      <c r="L43" s="17">
        <f t="shared" si="4"/>
        <v>3.9523884794973894</v>
      </c>
    </row>
    <row r="44" spans="1:12" x14ac:dyDescent="0.3">
      <c r="A44" s="1" t="s">
        <v>21</v>
      </c>
      <c r="B44" s="11">
        <v>2022</v>
      </c>
      <c r="C44" s="1" t="s">
        <v>22</v>
      </c>
      <c r="D44" s="2">
        <v>16500</v>
      </c>
      <c r="E44" s="2">
        <v>100</v>
      </c>
      <c r="F44" s="2">
        <f t="shared" si="0"/>
        <v>1650000</v>
      </c>
      <c r="G44" s="2">
        <v>2946303000</v>
      </c>
      <c r="H44" s="2">
        <v>431400000</v>
      </c>
      <c r="I44" s="1">
        <f t="shared" si="1"/>
        <v>241594.29630964636</v>
      </c>
      <c r="J44" s="1">
        <f t="shared" si="2"/>
        <v>14.642078564220991</v>
      </c>
      <c r="K44" s="1">
        <f t="shared" si="3"/>
        <v>17004312000</v>
      </c>
      <c r="L44" s="17">
        <f t="shared" si="4"/>
        <v>14.642078564220991</v>
      </c>
    </row>
    <row r="45" spans="1:12" x14ac:dyDescent="0.3">
      <c r="A45" s="1" t="s">
        <v>21</v>
      </c>
      <c r="B45" s="11">
        <v>2022</v>
      </c>
      <c r="C45" s="1" t="s">
        <v>23</v>
      </c>
      <c r="D45" s="2">
        <v>24000</v>
      </c>
      <c r="E45" s="2">
        <v>100</v>
      </c>
      <c r="F45" s="2">
        <f t="shared" si="0"/>
        <v>2400000</v>
      </c>
      <c r="G45" s="2">
        <v>2946303000</v>
      </c>
      <c r="H45" s="2">
        <v>431400000</v>
      </c>
      <c r="I45" s="1">
        <f t="shared" si="1"/>
        <v>351409.88554130384</v>
      </c>
      <c r="J45" s="1">
        <f t="shared" si="2"/>
        <v>14.642078564220991</v>
      </c>
      <c r="K45" s="1">
        <f t="shared" si="3"/>
        <v>17004312000</v>
      </c>
      <c r="L45" s="17">
        <f t="shared" si="4"/>
        <v>14.642078564220991</v>
      </c>
    </row>
    <row r="46" spans="1:12" x14ac:dyDescent="0.3">
      <c r="A46" s="1" t="s">
        <v>21</v>
      </c>
      <c r="B46" s="11">
        <v>2022</v>
      </c>
      <c r="C46" s="1" t="s">
        <v>24</v>
      </c>
      <c r="D46" s="2">
        <v>11200</v>
      </c>
      <c r="E46" s="2">
        <v>107</v>
      </c>
      <c r="F46" s="2">
        <f t="shared" si="0"/>
        <v>1198400</v>
      </c>
      <c r="G46" s="2">
        <v>2946303000</v>
      </c>
      <c r="H46" s="2">
        <v>431400000</v>
      </c>
      <c r="I46" s="1">
        <f t="shared" si="1"/>
        <v>175470.66951362437</v>
      </c>
      <c r="J46" s="1">
        <f t="shared" si="2"/>
        <v>14.642078564220991</v>
      </c>
      <c r="K46" s="1">
        <f t="shared" si="3"/>
        <v>17004312000</v>
      </c>
      <c r="L46" s="17">
        <f t="shared" si="4"/>
        <v>14.642078564220991</v>
      </c>
    </row>
    <row r="47" spans="1:12" x14ac:dyDescent="0.3">
      <c r="A47" s="1" t="s">
        <v>21</v>
      </c>
      <c r="B47" s="11">
        <v>2022</v>
      </c>
      <c r="C47" s="1" t="s">
        <v>25</v>
      </c>
      <c r="D47" s="2">
        <v>8500</v>
      </c>
      <c r="E47" s="2">
        <v>109</v>
      </c>
      <c r="F47" s="2">
        <f t="shared" si="0"/>
        <v>926500</v>
      </c>
      <c r="G47" s="2">
        <v>2946303000</v>
      </c>
      <c r="H47" s="2">
        <v>431400000</v>
      </c>
      <c r="I47" s="1">
        <f t="shared" si="1"/>
        <v>135658.85789750749</v>
      </c>
      <c r="J47" s="1">
        <f t="shared" si="2"/>
        <v>14.642078564220991</v>
      </c>
      <c r="K47" s="1">
        <f t="shared" si="3"/>
        <v>17004312000</v>
      </c>
      <c r="L47" s="17">
        <f t="shared" si="4"/>
        <v>14.642078564220991</v>
      </c>
    </row>
    <row r="48" spans="1:12" x14ac:dyDescent="0.3">
      <c r="A48" s="1" t="s">
        <v>21</v>
      </c>
      <c r="B48" s="11">
        <v>2022</v>
      </c>
      <c r="C48" s="1" t="s">
        <v>26</v>
      </c>
      <c r="D48" s="2">
        <v>13500</v>
      </c>
      <c r="E48" s="2">
        <v>114</v>
      </c>
      <c r="F48" s="2">
        <f t="shared" si="0"/>
        <v>1539000</v>
      </c>
      <c r="G48" s="2">
        <v>2946303000</v>
      </c>
      <c r="H48" s="2">
        <v>431400000</v>
      </c>
      <c r="I48" s="1">
        <f t="shared" si="1"/>
        <v>225341.58910336107</v>
      </c>
      <c r="J48" s="1">
        <f t="shared" si="2"/>
        <v>14.642078564220991</v>
      </c>
      <c r="K48" s="1">
        <f t="shared" si="3"/>
        <v>17004312000</v>
      </c>
      <c r="L48" s="17">
        <f t="shared" si="4"/>
        <v>14.642078564220991</v>
      </c>
    </row>
    <row r="49" spans="1:12" x14ac:dyDescent="0.3">
      <c r="A49" s="1" t="s">
        <v>21</v>
      </c>
      <c r="B49" s="11">
        <v>2022</v>
      </c>
      <c r="C49" s="1" t="s">
        <v>27</v>
      </c>
      <c r="D49" s="2">
        <v>12800</v>
      </c>
      <c r="E49" s="2">
        <v>118</v>
      </c>
      <c r="F49" s="2">
        <f t="shared" si="0"/>
        <v>1510400</v>
      </c>
      <c r="G49" s="2">
        <v>2946303000</v>
      </c>
      <c r="H49" s="2">
        <v>431400000</v>
      </c>
      <c r="I49" s="1">
        <f t="shared" si="1"/>
        <v>221153.95463399385</v>
      </c>
      <c r="J49" s="1">
        <f t="shared" si="2"/>
        <v>14.642078564220991</v>
      </c>
      <c r="K49" s="1">
        <f t="shared" si="3"/>
        <v>17004312000</v>
      </c>
      <c r="L49" s="17">
        <f t="shared" si="4"/>
        <v>14.642078564220991</v>
      </c>
    </row>
    <row r="50" spans="1:12" x14ac:dyDescent="0.3">
      <c r="A50" s="1" t="s">
        <v>21</v>
      </c>
      <c r="B50" s="11">
        <v>2022</v>
      </c>
      <c r="C50" s="1" t="s">
        <v>17</v>
      </c>
      <c r="D50" s="2">
        <v>9200</v>
      </c>
      <c r="E50" s="2">
        <v>119</v>
      </c>
      <c r="F50" s="2">
        <f t="shared" si="0"/>
        <v>1094800</v>
      </c>
      <c r="G50" s="2">
        <v>2946303000</v>
      </c>
      <c r="H50" s="2">
        <v>431400000</v>
      </c>
      <c r="I50" s="1">
        <f t="shared" si="1"/>
        <v>160301.4761210914</v>
      </c>
      <c r="J50" s="1">
        <f t="shared" si="2"/>
        <v>14.64207856422099</v>
      </c>
      <c r="K50" s="1">
        <f t="shared" si="3"/>
        <v>17004312000</v>
      </c>
      <c r="L50" s="17">
        <f t="shared" si="4"/>
        <v>14.642078564220991</v>
      </c>
    </row>
    <row r="51" spans="1:12" x14ac:dyDescent="0.3">
      <c r="A51" s="1" t="s">
        <v>21</v>
      </c>
      <c r="B51" s="11">
        <v>2022</v>
      </c>
      <c r="C51" s="1" t="s">
        <v>28</v>
      </c>
      <c r="D51" s="2">
        <v>7800</v>
      </c>
      <c r="E51" s="2">
        <v>124</v>
      </c>
      <c r="F51" s="2">
        <f t="shared" si="0"/>
        <v>967200</v>
      </c>
      <c r="G51" s="2">
        <v>2946303000</v>
      </c>
      <c r="H51" s="2">
        <v>431400000</v>
      </c>
      <c r="I51" s="1">
        <f t="shared" si="1"/>
        <v>141618.18387314543</v>
      </c>
      <c r="J51" s="1">
        <f t="shared" si="2"/>
        <v>14.642078564220991</v>
      </c>
      <c r="K51" s="1">
        <f t="shared" si="3"/>
        <v>17004312000</v>
      </c>
      <c r="L51" s="17">
        <f t="shared" si="4"/>
        <v>14.642078564220991</v>
      </c>
    </row>
    <row r="52" spans="1:12" x14ac:dyDescent="0.3">
      <c r="A52" s="1" t="s">
        <v>21</v>
      </c>
      <c r="B52" s="11">
        <v>2022</v>
      </c>
      <c r="C52" s="1" t="s">
        <v>29</v>
      </c>
      <c r="D52" s="2">
        <v>10500</v>
      </c>
      <c r="E52" s="2">
        <v>126</v>
      </c>
      <c r="F52" s="2">
        <f t="shared" si="0"/>
        <v>1323000</v>
      </c>
      <c r="G52" s="2">
        <v>2946303000</v>
      </c>
      <c r="H52" s="2">
        <v>431400000</v>
      </c>
      <c r="I52" s="1">
        <f t="shared" si="1"/>
        <v>193714.69940464373</v>
      </c>
      <c r="J52" s="1">
        <f t="shared" si="2"/>
        <v>14.642078564220991</v>
      </c>
      <c r="K52" s="1">
        <f t="shared" si="3"/>
        <v>17004312000</v>
      </c>
      <c r="L52" s="17">
        <f t="shared" si="4"/>
        <v>14.642078564220991</v>
      </c>
    </row>
    <row r="53" spans="1:12" x14ac:dyDescent="0.3">
      <c r="A53" s="1" t="s">
        <v>21</v>
      </c>
      <c r="B53" s="11">
        <v>2022</v>
      </c>
      <c r="C53" s="1" t="s">
        <v>30</v>
      </c>
      <c r="D53" s="2">
        <v>12200</v>
      </c>
      <c r="E53" s="2">
        <v>133</v>
      </c>
      <c r="F53" s="2">
        <f t="shared" si="0"/>
        <v>1622600</v>
      </c>
      <c r="G53" s="2">
        <v>2946303000</v>
      </c>
      <c r="H53" s="2">
        <v>431400000</v>
      </c>
      <c r="I53" s="1">
        <f t="shared" si="1"/>
        <v>237582.3667830498</v>
      </c>
      <c r="J53" s="1">
        <f t="shared" si="2"/>
        <v>14.642078564220991</v>
      </c>
      <c r="K53" s="1">
        <f t="shared" si="3"/>
        <v>17004312000</v>
      </c>
      <c r="L53" s="17">
        <f t="shared" si="4"/>
        <v>14.642078564220991</v>
      </c>
    </row>
    <row r="54" spans="1:12" x14ac:dyDescent="0.3">
      <c r="A54" s="1" t="s">
        <v>21</v>
      </c>
      <c r="B54" s="11">
        <v>2022</v>
      </c>
      <c r="C54" s="1" t="s">
        <v>31</v>
      </c>
      <c r="D54" s="2">
        <v>5600</v>
      </c>
      <c r="E54" s="2">
        <v>136</v>
      </c>
      <c r="F54" s="2">
        <f t="shared" si="0"/>
        <v>761600</v>
      </c>
      <c r="G54" s="2">
        <v>2946303000</v>
      </c>
      <c r="H54" s="2">
        <v>431400000</v>
      </c>
      <c r="I54" s="1">
        <f t="shared" si="1"/>
        <v>111514.07034510707</v>
      </c>
      <c r="J54" s="1">
        <f t="shared" si="2"/>
        <v>14.642078564220991</v>
      </c>
      <c r="K54" s="1">
        <f t="shared" si="3"/>
        <v>17004312000</v>
      </c>
      <c r="L54" s="17">
        <f t="shared" si="4"/>
        <v>14.642078564220991</v>
      </c>
    </row>
    <row r="55" spans="1:12" x14ac:dyDescent="0.3">
      <c r="A55" s="1" t="s">
        <v>21</v>
      </c>
      <c r="B55" s="11">
        <v>2022</v>
      </c>
      <c r="C55" s="1" t="s">
        <v>32</v>
      </c>
      <c r="D55" s="2">
        <v>3500</v>
      </c>
      <c r="E55" s="2">
        <v>140</v>
      </c>
      <c r="F55" s="2">
        <f t="shared" si="0"/>
        <v>490000</v>
      </c>
      <c r="G55" s="2">
        <v>2946303000</v>
      </c>
      <c r="H55" s="2">
        <v>431400000</v>
      </c>
      <c r="I55" s="1">
        <f t="shared" si="1"/>
        <v>71746.184964682863</v>
      </c>
      <c r="J55" s="1">
        <f t="shared" si="2"/>
        <v>14.642078564220991</v>
      </c>
      <c r="K55" s="1">
        <f t="shared" si="3"/>
        <v>17004312000</v>
      </c>
      <c r="L55" s="17">
        <f t="shared" si="4"/>
        <v>14.642078564220991</v>
      </c>
    </row>
    <row r="56" spans="1:12" x14ac:dyDescent="0.3">
      <c r="A56" s="1" t="s">
        <v>21</v>
      </c>
      <c r="B56" s="11">
        <v>2023</v>
      </c>
      <c r="C56" s="1" t="s">
        <v>22</v>
      </c>
      <c r="D56" s="2">
        <v>17200</v>
      </c>
      <c r="E56" s="2">
        <v>143</v>
      </c>
      <c r="F56" s="2">
        <f t="shared" si="0"/>
        <v>2459600</v>
      </c>
      <c r="G56" s="2">
        <v>3387456000</v>
      </c>
      <c r="H56" s="2">
        <v>544435000</v>
      </c>
      <c r="I56" s="1">
        <f t="shared" si="1"/>
        <v>395309.14231801091</v>
      </c>
      <c r="J56" s="1">
        <f t="shared" si="2"/>
        <v>16.07209067807818</v>
      </c>
      <c r="K56" s="1">
        <f t="shared" si="3"/>
        <v>17004312000</v>
      </c>
      <c r="L56" s="17">
        <f t="shared" si="4"/>
        <v>16.07209067807818</v>
      </c>
    </row>
    <row r="57" spans="1:12" x14ac:dyDescent="0.3">
      <c r="A57" s="1" t="s">
        <v>21</v>
      </c>
      <c r="B57" s="11">
        <v>2023</v>
      </c>
      <c r="C57" s="1" t="s">
        <v>23</v>
      </c>
      <c r="D57" s="2">
        <v>25000</v>
      </c>
      <c r="E57" s="2">
        <v>154</v>
      </c>
      <c r="F57" s="2">
        <f t="shared" si="0"/>
        <v>3850000</v>
      </c>
      <c r="G57" s="2">
        <v>3387456000</v>
      </c>
      <c r="H57" s="2">
        <v>544435000</v>
      </c>
      <c r="I57" s="1">
        <f t="shared" si="1"/>
        <v>618775.49110600993</v>
      </c>
      <c r="J57" s="1">
        <f t="shared" si="2"/>
        <v>16.07209067807818</v>
      </c>
      <c r="K57" s="1">
        <f t="shared" si="3"/>
        <v>17004312000</v>
      </c>
      <c r="L57" s="17">
        <f t="shared" si="4"/>
        <v>16.07209067807818</v>
      </c>
    </row>
    <row r="58" spans="1:12" x14ac:dyDescent="0.3">
      <c r="A58" s="1" t="s">
        <v>21</v>
      </c>
      <c r="B58" s="11">
        <v>2023</v>
      </c>
      <c r="C58" s="1" t="s">
        <v>24</v>
      </c>
      <c r="D58" s="2">
        <v>11800</v>
      </c>
      <c r="E58" s="2">
        <v>157</v>
      </c>
      <c r="F58" s="2">
        <f t="shared" si="0"/>
        <v>1852600</v>
      </c>
      <c r="G58" s="2">
        <v>3387456000</v>
      </c>
      <c r="H58" s="2">
        <v>544435000</v>
      </c>
      <c r="I58" s="1">
        <f t="shared" si="1"/>
        <v>297751.55190207635</v>
      </c>
      <c r="J58" s="1">
        <f t="shared" si="2"/>
        <v>16.07209067807818</v>
      </c>
      <c r="K58" s="1">
        <f t="shared" si="3"/>
        <v>17004312000</v>
      </c>
      <c r="L58" s="17">
        <f t="shared" si="4"/>
        <v>16.07209067807818</v>
      </c>
    </row>
    <row r="59" spans="1:12" x14ac:dyDescent="0.3">
      <c r="A59" s="1" t="s">
        <v>21</v>
      </c>
      <c r="B59" s="11">
        <v>2023</v>
      </c>
      <c r="C59" s="1" t="s">
        <v>25</v>
      </c>
      <c r="D59" s="2">
        <v>8900</v>
      </c>
      <c r="E59" s="2">
        <v>163</v>
      </c>
      <c r="F59" s="2">
        <f t="shared" si="0"/>
        <v>1450700</v>
      </c>
      <c r="G59" s="2">
        <v>3387456000</v>
      </c>
      <c r="H59" s="2">
        <v>544435000</v>
      </c>
      <c r="I59" s="1">
        <f t="shared" si="1"/>
        <v>233157.81946688014</v>
      </c>
      <c r="J59" s="1">
        <f t="shared" si="2"/>
        <v>16.07209067807818</v>
      </c>
      <c r="K59" s="1">
        <f t="shared" si="3"/>
        <v>17004312000</v>
      </c>
      <c r="L59" s="17">
        <f t="shared" si="4"/>
        <v>16.07209067807818</v>
      </c>
    </row>
    <row r="60" spans="1:12" x14ac:dyDescent="0.3">
      <c r="A60" s="1" t="s">
        <v>21</v>
      </c>
      <c r="B60" s="11">
        <v>2023</v>
      </c>
      <c r="C60" s="1" t="s">
        <v>26</v>
      </c>
      <c r="D60" s="2">
        <v>14200</v>
      </c>
      <c r="E60" s="2">
        <v>163</v>
      </c>
      <c r="F60" s="2">
        <f t="shared" si="0"/>
        <v>2314600</v>
      </c>
      <c r="G60" s="2">
        <v>3387456000</v>
      </c>
      <c r="H60" s="2">
        <v>544435000</v>
      </c>
      <c r="I60" s="1">
        <f t="shared" si="1"/>
        <v>372004.61083479755</v>
      </c>
      <c r="J60" s="1">
        <f t="shared" si="2"/>
        <v>16.07209067807818</v>
      </c>
      <c r="K60" s="1">
        <f t="shared" si="3"/>
        <v>17004312000</v>
      </c>
      <c r="L60" s="17">
        <f t="shared" si="4"/>
        <v>16.07209067807818</v>
      </c>
    </row>
    <row r="61" spans="1:12" x14ac:dyDescent="0.3">
      <c r="A61" s="1" t="s">
        <v>21</v>
      </c>
      <c r="B61" s="11">
        <v>2023</v>
      </c>
      <c r="C61" s="1" t="s">
        <v>27</v>
      </c>
      <c r="D61" s="2">
        <v>13500</v>
      </c>
      <c r="E61" s="2">
        <v>169</v>
      </c>
      <c r="F61" s="2">
        <f t="shared" si="0"/>
        <v>2281500</v>
      </c>
      <c r="G61" s="2">
        <v>3387456000</v>
      </c>
      <c r="H61" s="2">
        <v>544435000</v>
      </c>
      <c r="I61" s="1">
        <f t="shared" si="1"/>
        <v>366684.74882035371</v>
      </c>
      <c r="J61" s="1">
        <f t="shared" si="2"/>
        <v>16.072090678078183</v>
      </c>
      <c r="K61" s="1">
        <f t="shared" si="3"/>
        <v>17004312000</v>
      </c>
      <c r="L61" s="17">
        <f t="shared" si="4"/>
        <v>16.07209067807818</v>
      </c>
    </row>
    <row r="62" spans="1:12" x14ac:dyDescent="0.3">
      <c r="A62" s="1" t="s">
        <v>21</v>
      </c>
      <c r="B62" s="11">
        <v>2023</v>
      </c>
      <c r="C62" s="1" t="s">
        <v>17</v>
      </c>
      <c r="D62" s="2">
        <v>9700</v>
      </c>
      <c r="E62" s="2">
        <v>177</v>
      </c>
      <c r="F62" s="2">
        <f t="shared" si="0"/>
        <v>1716900</v>
      </c>
      <c r="G62" s="2">
        <v>3387456000</v>
      </c>
      <c r="H62" s="2">
        <v>544435000</v>
      </c>
      <c r="I62" s="1">
        <f t="shared" si="1"/>
        <v>275941.72485192429</v>
      </c>
      <c r="J62" s="1">
        <f t="shared" si="2"/>
        <v>16.07209067807818</v>
      </c>
      <c r="K62" s="1">
        <f t="shared" si="3"/>
        <v>17004312000</v>
      </c>
      <c r="L62" s="17">
        <f t="shared" si="4"/>
        <v>16.07209067807818</v>
      </c>
    </row>
    <row r="63" spans="1:12" x14ac:dyDescent="0.3">
      <c r="A63" s="1" t="s">
        <v>21</v>
      </c>
      <c r="B63" s="11">
        <v>2023</v>
      </c>
      <c r="C63" s="1" t="s">
        <v>28</v>
      </c>
      <c r="D63" s="2">
        <v>8200</v>
      </c>
      <c r="E63" s="2">
        <v>223</v>
      </c>
      <c r="F63" s="2">
        <f t="shared" si="0"/>
        <v>1828600</v>
      </c>
      <c r="G63" s="2">
        <v>3387456000</v>
      </c>
      <c r="H63" s="2">
        <v>544435000</v>
      </c>
      <c r="I63" s="1">
        <f t="shared" si="1"/>
        <v>293894.25013933762</v>
      </c>
      <c r="J63" s="1">
        <f t="shared" si="2"/>
        <v>16.07209067807818</v>
      </c>
      <c r="K63" s="1">
        <f t="shared" si="3"/>
        <v>17004312000</v>
      </c>
      <c r="L63" s="17">
        <f t="shared" si="4"/>
        <v>16.07209067807818</v>
      </c>
    </row>
    <row r="64" spans="1:12" x14ac:dyDescent="0.3">
      <c r="A64" s="1" t="s">
        <v>21</v>
      </c>
      <c r="B64" s="11">
        <v>2023</v>
      </c>
      <c r="C64" s="1" t="s">
        <v>29</v>
      </c>
      <c r="D64" s="2">
        <v>11100</v>
      </c>
      <c r="E64" s="2">
        <v>257</v>
      </c>
      <c r="F64" s="2">
        <f t="shared" si="0"/>
        <v>2852700</v>
      </c>
      <c r="G64" s="2">
        <v>3387456000</v>
      </c>
      <c r="H64" s="2">
        <v>544435000</v>
      </c>
      <c r="I64" s="1">
        <f t="shared" si="1"/>
        <v>458488.53077353624</v>
      </c>
      <c r="J64" s="1">
        <f t="shared" si="2"/>
        <v>16.07209067807818</v>
      </c>
      <c r="K64" s="1">
        <f t="shared" si="3"/>
        <v>17004312000</v>
      </c>
      <c r="L64" s="17">
        <f t="shared" si="4"/>
        <v>16.07209067807818</v>
      </c>
    </row>
    <row r="65" spans="1:12" x14ac:dyDescent="0.3">
      <c r="A65" s="1" t="s">
        <v>21</v>
      </c>
      <c r="B65" s="11">
        <v>2023</v>
      </c>
      <c r="C65" s="1" t="s">
        <v>30</v>
      </c>
      <c r="D65" s="2">
        <v>12900</v>
      </c>
      <c r="E65" s="2">
        <v>261</v>
      </c>
      <c r="F65" s="2">
        <f t="shared" si="0"/>
        <v>3366900</v>
      </c>
      <c r="G65" s="2">
        <v>3387456000</v>
      </c>
      <c r="H65" s="2">
        <v>544435000</v>
      </c>
      <c r="I65" s="1">
        <f t="shared" si="1"/>
        <v>541131.2210402143</v>
      </c>
      <c r="J65" s="1">
        <f t="shared" si="2"/>
        <v>16.072090678078183</v>
      </c>
      <c r="K65" s="1">
        <f t="shared" si="3"/>
        <v>17004312000</v>
      </c>
      <c r="L65" s="17">
        <f t="shared" si="4"/>
        <v>16.07209067807818</v>
      </c>
    </row>
    <row r="66" spans="1:12" x14ac:dyDescent="0.3">
      <c r="A66" s="1" t="s">
        <v>21</v>
      </c>
      <c r="B66" s="11">
        <v>2023</v>
      </c>
      <c r="C66" s="1" t="s">
        <v>31</v>
      </c>
      <c r="D66" s="2">
        <v>5900</v>
      </c>
      <c r="E66" s="2">
        <v>289</v>
      </c>
      <c r="F66" s="2">
        <f t="shared" ref="F66:F129" si="5">E66*D66</f>
        <v>1705100</v>
      </c>
      <c r="G66" s="2">
        <v>3387456000</v>
      </c>
      <c r="H66" s="2">
        <v>544435000</v>
      </c>
      <c r="I66" s="1">
        <f t="shared" si="1"/>
        <v>274045.21815191105</v>
      </c>
      <c r="J66" s="1">
        <f t="shared" si="2"/>
        <v>16.07209067807818</v>
      </c>
      <c r="K66" s="1">
        <f t="shared" si="3"/>
        <v>17004312000</v>
      </c>
      <c r="L66" s="17">
        <f t="shared" si="4"/>
        <v>16.07209067807818</v>
      </c>
    </row>
    <row r="67" spans="1:12" x14ac:dyDescent="0.3">
      <c r="A67" s="1" t="s">
        <v>21</v>
      </c>
      <c r="B67" s="11">
        <v>2023</v>
      </c>
      <c r="C67" s="1" t="s">
        <v>32</v>
      </c>
      <c r="D67" s="2">
        <v>3700</v>
      </c>
      <c r="E67" s="2">
        <v>306</v>
      </c>
      <c r="F67" s="2">
        <f t="shared" si="5"/>
        <v>1132200</v>
      </c>
      <c r="G67" s="2">
        <v>3387456000</v>
      </c>
      <c r="H67" s="2">
        <v>544435000</v>
      </c>
      <c r="I67" s="1">
        <f t="shared" ref="I67:I130" si="6">IF(F67&gt;0,H67*(F67/G67),0)</f>
        <v>181968.21065720115</v>
      </c>
      <c r="J67" s="1">
        <f t="shared" ref="J67:J130" si="7">IF(F67&gt;0,I67/F67*100,0)</f>
        <v>16.07209067807818</v>
      </c>
      <c r="K67" s="1">
        <f t="shared" ref="K67:K130" si="8">SUMIF(A:A,A67,H:H)</f>
        <v>17004312000</v>
      </c>
      <c r="L67" s="17">
        <f t="shared" ref="L67:L130" si="9">IF(G67&gt;0,H67/G67*100,0)</f>
        <v>16.07209067807818</v>
      </c>
    </row>
    <row r="68" spans="1:12" x14ac:dyDescent="0.3">
      <c r="A68" s="1" t="s">
        <v>21</v>
      </c>
      <c r="B68" s="11">
        <v>2024</v>
      </c>
      <c r="C68" s="1" t="s">
        <v>22</v>
      </c>
      <c r="D68" s="2">
        <v>18000</v>
      </c>
      <c r="E68" s="2">
        <v>358</v>
      </c>
      <c r="F68" s="2">
        <f t="shared" si="5"/>
        <v>6444000</v>
      </c>
      <c r="G68" s="2">
        <v>4246648000</v>
      </c>
      <c r="H68" s="2">
        <v>441191000</v>
      </c>
      <c r="I68" s="1">
        <f t="shared" si="6"/>
        <v>669477.38639981463</v>
      </c>
      <c r="J68" s="1">
        <f t="shared" si="7"/>
        <v>10.389158696458949</v>
      </c>
      <c r="K68" s="1">
        <f t="shared" si="8"/>
        <v>17004312000</v>
      </c>
      <c r="L68" s="17">
        <f t="shared" si="9"/>
        <v>10.389158696458949</v>
      </c>
    </row>
    <row r="69" spans="1:12" x14ac:dyDescent="0.3">
      <c r="A69" s="1" t="s">
        <v>21</v>
      </c>
      <c r="B69" s="11">
        <v>2024</v>
      </c>
      <c r="C69" s="1" t="s">
        <v>23</v>
      </c>
      <c r="D69" s="2">
        <v>26200</v>
      </c>
      <c r="E69" s="2">
        <v>387</v>
      </c>
      <c r="F69" s="2">
        <f t="shared" si="5"/>
        <v>10139400</v>
      </c>
      <c r="G69" s="2">
        <v>4246648000</v>
      </c>
      <c r="H69" s="2">
        <v>441191000</v>
      </c>
      <c r="I69" s="1">
        <f t="shared" si="6"/>
        <v>1053398.3568687586</v>
      </c>
      <c r="J69" s="1">
        <f t="shared" si="7"/>
        <v>10.389158696458949</v>
      </c>
      <c r="K69" s="1">
        <f t="shared" si="8"/>
        <v>17004312000</v>
      </c>
      <c r="L69" s="17">
        <f t="shared" si="9"/>
        <v>10.389158696458949</v>
      </c>
    </row>
    <row r="70" spans="1:12" x14ac:dyDescent="0.3">
      <c r="A70" s="1" t="s">
        <v>21</v>
      </c>
      <c r="B70" s="11">
        <v>2024</v>
      </c>
      <c r="C70" s="1" t="s">
        <v>24</v>
      </c>
      <c r="D70" s="2">
        <v>12500</v>
      </c>
      <c r="E70" s="2">
        <v>413</v>
      </c>
      <c r="F70" s="2">
        <f t="shared" si="5"/>
        <v>5162500</v>
      </c>
      <c r="G70" s="2">
        <v>4246648000</v>
      </c>
      <c r="H70" s="2">
        <v>441191000</v>
      </c>
      <c r="I70" s="1">
        <f t="shared" si="6"/>
        <v>536340.31770469318</v>
      </c>
      <c r="J70" s="1">
        <f t="shared" si="7"/>
        <v>10.389158696458948</v>
      </c>
      <c r="K70" s="1">
        <f t="shared" si="8"/>
        <v>17004312000</v>
      </c>
      <c r="L70" s="17">
        <f t="shared" si="9"/>
        <v>10.389158696458949</v>
      </c>
    </row>
    <row r="71" spans="1:12" x14ac:dyDescent="0.3">
      <c r="A71" s="1" t="s">
        <v>21</v>
      </c>
      <c r="B71" s="11">
        <v>2024</v>
      </c>
      <c r="C71" s="1" t="s">
        <v>25</v>
      </c>
      <c r="D71" s="2">
        <v>9400</v>
      </c>
      <c r="E71" s="2">
        <v>423</v>
      </c>
      <c r="F71" s="2">
        <f t="shared" si="5"/>
        <v>3976200</v>
      </c>
      <c r="G71" s="2">
        <v>4246648000</v>
      </c>
      <c r="H71" s="2">
        <v>441191000</v>
      </c>
      <c r="I71" s="1">
        <f t="shared" si="6"/>
        <v>413093.72808860068</v>
      </c>
      <c r="J71" s="1">
        <f t="shared" si="7"/>
        <v>10.389158696458948</v>
      </c>
      <c r="K71" s="1">
        <f t="shared" si="8"/>
        <v>17004312000</v>
      </c>
      <c r="L71" s="17">
        <f t="shared" si="9"/>
        <v>10.389158696458949</v>
      </c>
    </row>
    <row r="72" spans="1:12" x14ac:dyDescent="0.3">
      <c r="A72" s="1" t="s">
        <v>21</v>
      </c>
      <c r="B72" s="11">
        <v>2024</v>
      </c>
      <c r="C72" s="1" t="s">
        <v>26</v>
      </c>
      <c r="D72" s="2">
        <v>15000</v>
      </c>
      <c r="E72" s="2">
        <v>428</v>
      </c>
      <c r="F72" s="2">
        <f t="shared" si="5"/>
        <v>6420000</v>
      </c>
      <c r="G72" s="2">
        <v>4246648000</v>
      </c>
      <c r="H72" s="2">
        <v>441191000</v>
      </c>
      <c r="I72" s="1">
        <f t="shared" si="6"/>
        <v>666983.98831266444</v>
      </c>
      <c r="J72" s="1">
        <f t="shared" si="7"/>
        <v>10.389158696458948</v>
      </c>
      <c r="K72" s="1">
        <f t="shared" si="8"/>
        <v>17004312000</v>
      </c>
      <c r="L72" s="17">
        <f t="shared" si="9"/>
        <v>10.389158696458949</v>
      </c>
    </row>
    <row r="73" spans="1:12" x14ac:dyDescent="0.3">
      <c r="A73" s="1" t="s">
        <v>21</v>
      </c>
      <c r="B73" s="11">
        <v>2024</v>
      </c>
      <c r="C73" s="1" t="s">
        <v>27</v>
      </c>
      <c r="D73" s="2">
        <v>14200</v>
      </c>
      <c r="E73" s="2">
        <v>450</v>
      </c>
      <c r="F73" s="2">
        <f t="shared" si="5"/>
        <v>6390000</v>
      </c>
      <c r="G73" s="2">
        <v>4246648000</v>
      </c>
      <c r="H73" s="2">
        <v>441191000</v>
      </c>
      <c r="I73" s="1">
        <f t="shared" si="6"/>
        <v>663867.24070372677</v>
      </c>
      <c r="J73" s="1">
        <f t="shared" si="7"/>
        <v>10.389158696458949</v>
      </c>
      <c r="K73" s="1">
        <f t="shared" si="8"/>
        <v>17004312000</v>
      </c>
      <c r="L73" s="17">
        <f t="shared" si="9"/>
        <v>10.389158696458949</v>
      </c>
    </row>
    <row r="74" spans="1:12" x14ac:dyDescent="0.3">
      <c r="A74" s="1" t="s">
        <v>21</v>
      </c>
      <c r="B74" s="11">
        <v>2024</v>
      </c>
      <c r="C74" s="1" t="s">
        <v>17</v>
      </c>
      <c r="D74" s="2">
        <v>10300</v>
      </c>
      <c r="E74" s="2">
        <v>458</v>
      </c>
      <c r="F74" s="2">
        <f t="shared" si="5"/>
        <v>4717400</v>
      </c>
      <c r="G74" s="2">
        <v>4246648000</v>
      </c>
      <c r="H74" s="2">
        <v>441191000</v>
      </c>
      <c r="I74" s="1">
        <f t="shared" si="6"/>
        <v>490098.17234675441</v>
      </c>
      <c r="J74" s="1">
        <f t="shared" si="7"/>
        <v>10.389158696458948</v>
      </c>
      <c r="K74" s="1">
        <f t="shared" si="8"/>
        <v>17004312000</v>
      </c>
      <c r="L74" s="17">
        <f t="shared" si="9"/>
        <v>10.389158696458949</v>
      </c>
    </row>
    <row r="75" spans="1:12" x14ac:dyDescent="0.3">
      <c r="A75" s="1" t="s">
        <v>21</v>
      </c>
      <c r="B75" s="11">
        <v>2024</v>
      </c>
      <c r="C75" s="1" t="s">
        <v>28</v>
      </c>
      <c r="D75" s="2">
        <v>8700</v>
      </c>
      <c r="E75" s="2">
        <v>497</v>
      </c>
      <c r="F75" s="2">
        <f t="shared" si="5"/>
        <v>4323900</v>
      </c>
      <c r="G75" s="2">
        <v>4246648000</v>
      </c>
      <c r="H75" s="2">
        <v>441191000</v>
      </c>
      <c r="I75" s="1">
        <f t="shared" si="6"/>
        <v>449216.83287618845</v>
      </c>
      <c r="J75" s="1">
        <f t="shared" si="7"/>
        <v>10.389158696458949</v>
      </c>
      <c r="K75" s="1">
        <f t="shared" si="8"/>
        <v>17004312000</v>
      </c>
      <c r="L75" s="17">
        <f t="shared" si="9"/>
        <v>10.389158696458949</v>
      </c>
    </row>
    <row r="76" spans="1:12" x14ac:dyDescent="0.3">
      <c r="A76" s="1" t="s">
        <v>21</v>
      </c>
      <c r="B76" s="11">
        <v>2024</v>
      </c>
      <c r="C76" s="1" t="s">
        <v>29</v>
      </c>
      <c r="D76" s="2">
        <v>11800</v>
      </c>
      <c r="E76" s="2">
        <v>501</v>
      </c>
      <c r="F76" s="2">
        <f t="shared" si="5"/>
        <v>5911800</v>
      </c>
      <c r="G76" s="2">
        <v>4246648000</v>
      </c>
      <c r="H76" s="2">
        <v>441191000</v>
      </c>
      <c r="I76" s="1">
        <f t="shared" si="6"/>
        <v>614186.28381726018</v>
      </c>
      <c r="J76" s="1">
        <f t="shared" si="7"/>
        <v>10.389158696458949</v>
      </c>
      <c r="K76" s="1">
        <f t="shared" si="8"/>
        <v>17004312000</v>
      </c>
      <c r="L76" s="17">
        <f t="shared" si="9"/>
        <v>10.389158696458949</v>
      </c>
    </row>
    <row r="77" spans="1:12" x14ac:dyDescent="0.3">
      <c r="A77" s="1" t="s">
        <v>21</v>
      </c>
      <c r="B77" s="11">
        <v>2024</v>
      </c>
      <c r="C77" s="1" t="s">
        <v>30</v>
      </c>
      <c r="D77" s="2">
        <v>13600</v>
      </c>
      <c r="E77" s="2">
        <v>509</v>
      </c>
      <c r="F77" s="2">
        <f t="shared" si="5"/>
        <v>6922400</v>
      </c>
      <c r="G77" s="2">
        <v>4246648000</v>
      </c>
      <c r="H77" s="2">
        <v>441191000</v>
      </c>
      <c r="I77" s="1">
        <f t="shared" si="6"/>
        <v>719179.12160367426</v>
      </c>
      <c r="J77" s="1">
        <f t="shared" si="7"/>
        <v>10.389158696458949</v>
      </c>
      <c r="K77" s="1">
        <f t="shared" si="8"/>
        <v>17004312000</v>
      </c>
      <c r="L77" s="17">
        <f t="shared" si="9"/>
        <v>10.389158696458949</v>
      </c>
    </row>
    <row r="78" spans="1:12" x14ac:dyDescent="0.3">
      <c r="A78" s="1" t="s">
        <v>21</v>
      </c>
      <c r="B78" s="11">
        <v>2024</v>
      </c>
      <c r="C78" s="1" t="s">
        <v>31</v>
      </c>
      <c r="D78" s="2">
        <v>6300</v>
      </c>
      <c r="E78" s="2">
        <v>519</v>
      </c>
      <c r="F78" s="2">
        <f t="shared" si="5"/>
        <v>3269700</v>
      </c>
      <c r="G78" s="2">
        <v>4246648000</v>
      </c>
      <c r="H78" s="2">
        <v>441191000</v>
      </c>
      <c r="I78" s="1">
        <f t="shared" si="6"/>
        <v>339694.32189811824</v>
      </c>
      <c r="J78" s="1">
        <f t="shared" si="7"/>
        <v>10.389158696458949</v>
      </c>
      <c r="K78" s="1">
        <f t="shared" si="8"/>
        <v>17004312000</v>
      </c>
      <c r="L78" s="17">
        <f t="shared" si="9"/>
        <v>10.389158696458949</v>
      </c>
    </row>
    <row r="79" spans="1:12" x14ac:dyDescent="0.3">
      <c r="A79" s="1" t="s">
        <v>21</v>
      </c>
      <c r="B79" s="11">
        <v>2024</v>
      </c>
      <c r="C79" s="1" t="s">
        <v>32</v>
      </c>
      <c r="D79" s="2">
        <v>3900</v>
      </c>
      <c r="E79" s="2">
        <v>540</v>
      </c>
      <c r="F79" s="2">
        <f t="shared" si="5"/>
        <v>2106000</v>
      </c>
      <c r="G79" s="2">
        <v>4246648000</v>
      </c>
      <c r="H79" s="2">
        <v>441191000</v>
      </c>
      <c r="I79" s="1">
        <f t="shared" si="6"/>
        <v>218795.68214742548</v>
      </c>
      <c r="J79" s="1">
        <f t="shared" si="7"/>
        <v>10.389158696458949</v>
      </c>
      <c r="K79" s="1">
        <f t="shared" si="8"/>
        <v>17004312000</v>
      </c>
      <c r="L79" s="17">
        <f t="shared" si="9"/>
        <v>10.389158696458949</v>
      </c>
    </row>
    <row r="80" spans="1:12" x14ac:dyDescent="0.3">
      <c r="A80" s="1" t="s">
        <v>33</v>
      </c>
      <c r="B80" s="11">
        <v>2022</v>
      </c>
      <c r="C80" s="1" t="s">
        <v>34</v>
      </c>
      <c r="D80" s="2">
        <v>18500</v>
      </c>
      <c r="E80" s="2">
        <v>563</v>
      </c>
      <c r="F80" s="2">
        <f t="shared" si="5"/>
        <v>10415500</v>
      </c>
      <c r="G80" s="2">
        <v>3863261000</v>
      </c>
      <c r="H80" s="2">
        <v>185620000</v>
      </c>
      <c r="I80" s="1">
        <f t="shared" si="6"/>
        <v>500438.64755707677</v>
      </c>
      <c r="J80" s="1">
        <f t="shared" si="7"/>
        <v>4.8047491484525642</v>
      </c>
      <c r="K80" s="1">
        <f t="shared" si="8"/>
        <v>17152110000</v>
      </c>
      <c r="L80" s="17">
        <f t="shared" si="9"/>
        <v>4.8047491484525642</v>
      </c>
    </row>
    <row r="81" spans="1:12" x14ac:dyDescent="0.3">
      <c r="A81" s="1" t="s">
        <v>33</v>
      </c>
      <c r="B81" s="11">
        <v>2022</v>
      </c>
      <c r="C81" s="1" t="s">
        <v>35</v>
      </c>
      <c r="D81" s="2">
        <v>26000</v>
      </c>
      <c r="E81" s="2">
        <v>581</v>
      </c>
      <c r="F81" s="2">
        <f t="shared" si="5"/>
        <v>15106000</v>
      </c>
      <c r="G81" s="2">
        <v>3863261000</v>
      </c>
      <c r="H81" s="2">
        <v>185620000</v>
      </c>
      <c r="I81" s="1">
        <f t="shared" si="6"/>
        <v>725805.4063652443</v>
      </c>
      <c r="J81" s="1">
        <f t="shared" si="7"/>
        <v>4.8047491484525642</v>
      </c>
      <c r="K81" s="1">
        <f t="shared" si="8"/>
        <v>17152110000</v>
      </c>
      <c r="L81" s="17">
        <f t="shared" si="9"/>
        <v>4.8047491484525642</v>
      </c>
    </row>
    <row r="82" spans="1:12" x14ac:dyDescent="0.3">
      <c r="A82" s="1" t="s">
        <v>33</v>
      </c>
      <c r="B82" s="11">
        <v>2022</v>
      </c>
      <c r="C82" s="1" t="s">
        <v>36</v>
      </c>
      <c r="D82" s="2">
        <v>850000</v>
      </c>
      <c r="E82" s="2">
        <v>627</v>
      </c>
      <c r="F82" s="2">
        <f t="shared" si="5"/>
        <v>532950000</v>
      </c>
      <c r="G82" s="2">
        <v>3863261000</v>
      </c>
      <c r="H82" s="2">
        <v>185620000</v>
      </c>
      <c r="I82" s="1">
        <f t="shared" si="6"/>
        <v>25606910.586677939</v>
      </c>
      <c r="J82" s="1">
        <f t="shared" si="7"/>
        <v>4.8047491484525642</v>
      </c>
      <c r="K82" s="1">
        <f t="shared" si="8"/>
        <v>17152110000</v>
      </c>
      <c r="L82" s="17">
        <f t="shared" si="9"/>
        <v>4.8047491484525642</v>
      </c>
    </row>
    <row r="83" spans="1:12" x14ac:dyDescent="0.3">
      <c r="A83" s="1" t="s">
        <v>33</v>
      </c>
      <c r="B83" s="11">
        <v>2022</v>
      </c>
      <c r="C83" s="1" t="s">
        <v>37</v>
      </c>
      <c r="D83" s="2">
        <v>650000</v>
      </c>
      <c r="E83" s="2">
        <v>723</v>
      </c>
      <c r="F83" s="2">
        <f t="shared" si="5"/>
        <v>469950000</v>
      </c>
      <c r="G83" s="2">
        <v>3863261000</v>
      </c>
      <c r="H83" s="2">
        <v>185620000</v>
      </c>
      <c r="I83" s="1">
        <f t="shared" si="6"/>
        <v>22579918.623152826</v>
      </c>
      <c r="J83" s="1">
        <f t="shared" si="7"/>
        <v>4.8047491484525651</v>
      </c>
      <c r="K83" s="1">
        <f t="shared" si="8"/>
        <v>17152110000</v>
      </c>
      <c r="L83" s="17">
        <f t="shared" si="9"/>
        <v>4.8047491484525642</v>
      </c>
    </row>
    <row r="84" spans="1:12" x14ac:dyDescent="0.3">
      <c r="A84" s="1" t="s">
        <v>33</v>
      </c>
      <c r="B84" s="11">
        <v>2022</v>
      </c>
      <c r="C84" s="1" t="s">
        <v>15</v>
      </c>
      <c r="D84" s="2">
        <v>10200</v>
      </c>
      <c r="E84" s="2">
        <v>724</v>
      </c>
      <c r="F84" s="2">
        <f t="shared" si="5"/>
        <v>7384800</v>
      </c>
      <c r="G84" s="2">
        <v>3863261000</v>
      </c>
      <c r="H84" s="2">
        <v>185620000</v>
      </c>
      <c r="I84" s="1">
        <f t="shared" si="6"/>
        <v>354821.11511492491</v>
      </c>
      <c r="J84" s="1">
        <f t="shared" si="7"/>
        <v>4.8047491484525633</v>
      </c>
      <c r="K84" s="1">
        <f t="shared" si="8"/>
        <v>17152110000</v>
      </c>
      <c r="L84" s="17">
        <f t="shared" si="9"/>
        <v>4.8047491484525642</v>
      </c>
    </row>
    <row r="85" spans="1:12" x14ac:dyDescent="0.3">
      <c r="A85" s="1" t="s">
        <v>33</v>
      </c>
      <c r="B85" s="11">
        <v>2022</v>
      </c>
      <c r="C85" s="1" t="s">
        <v>38</v>
      </c>
      <c r="D85" s="2">
        <v>32000</v>
      </c>
      <c r="E85" s="2">
        <v>744</v>
      </c>
      <c r="F85" s="2">
        <f t="shared" si="5"/>
        <v>23808000</v>
      </c>
      <c r="G85" s="2">
        <v>3863261000</v>
      </c>
      <c r="H85" s="2">
        <v>185620000</v>
      </c>
      <c r="I85" s="1">
        <f t="shared" si="6"/>
        <v>1143914.6772635863</v>
      </c>
      <c r="J85" s="1">
        <f t="shared" si="7"/>
        <v>4.8047491484525633</v>
      </c>
      <c r="K85" s="1">
        <f t="shared" si="8"/>
        <v>17152110000</v>
      </c>
      <c r="L85" s="17">
        <f t="shared" si="9"/>
        <v>4.8047491484525642</v>
      </c>
    </row>
    <row r="86" spans="1:12" x14ac:dyDescent="0.3">
      <c r="A86" s="1" t="s">
        <v>33</v>
      </c>
      <c r="B86" s="11">
        <v>2022</v>
      </c>
      <c r="C86" s="1" t="s">
        <v>39</v>
      </c>
      <c r="D86" s="2">
        <v>12500</v>
      </c>
      <c r="E86" s="2">
        <v>772</v>
      </c>
      <c r="F86" s="2">
        <f t="shared" si="5"/>
        <v>9650000</v>
      </c>
      <c r="G86" s="2">
        <v>3863261000</v>
      </c>
      <c r="H86" s="2">
        <v>185620000</v>
      </c>
      <c r="I86" s="1">
        <f t="shared" si="6"/>
        <v>463658.29282567237</v>
      </c>
      <c r="J86" s="1">
        <f t="shared" si="7"/>
        <v>4.8047491484525633</v>
      </c>
      <c r="K86" s="1">
        <f t="shared" si="8"/>
        <v>17152110000</v>
      </c>
      <c r="L86" s="17">
        <f t="shared" si="9"/>
        <v>4.8047491484525642</v>
      </c>
    </row>
    <row r="87" spans="1:12" x14ac:dyDescent="0.3">
      <c r="A87" s="1" t="s">
        <v>33</v>
      </c>
      <c r="B87" s="11">
        <v>2022</v>
      </c>
      <c r="C87" s="1" t="s">
        <v>40</v>
      </c>
      <c r="D87" s="2">
        <v>1200000</v>
      </c>
      <c r="E87" s="2">
        <v>773</v>
      </c>
      <c r="F87" s="2">
        <f t="shared" si="5"/>
        <v>927600000</v>
      </c>
      <c r="G87" s="2">
        <v>3863261000</v>
      </c>
      <c r="H87" s="2">
        <v>185620000</v>
      </c>
      <c r="I87" s="1">
        <f t="shared" si="6"/>
        <v>44568853.101045981</v>
      </c>
      <c r="J87" s="1">
        <f t="shared" si="7"/>
        <v>4.8047491484525642</v>
      </c>
      <c r="K87" s="1">
        <f t="shared" si="8"/>
        <v>17152110000</v>
      </c>
      <c r="L87" s="17">
        <f t="shared" si="9"/>
        <v>4.8047491484525642</v>
      </c>
    </row>
    <row r="88" spans="1:12" x14ac:dyDescent="0.3">
      <c r="A88" s="1" t="s">
        <v>33</v>
      </c>
      <c r="B88" s="11">
        <v>2022</v>
      </c>
      <c r="C88" s="1" t="s">
        <v>41</v>
      </c>
      <c r="D88" s="2">
        <v>180000</v>
      </c>
      <c r="E88" s="2">
        <v>815</v>
      </c>
      <c r="F88" s="2">
        <f t="shared" si="5"/>
        <v>146700000</v>
      </c>
      <c r="G88" s="2">
        <v>3863261000</v>
      </c>
      <c r="H88" s="2">
        <v>185620000</v>
      </c>
      <c r="I88" s="1">
        <f t="shared" si="6"/>
        <v>7048567.0007799109</v>
      </c>
      <c r="J88" s="1">
        <f t="shared" si="7"/>
        <v>4.8047491484525642</v>
      </c>
      <c r="K88" s="1">
        <f t="shared" si="8"/>
        <v>17152110000</v>
      </c>
      <c r="L88" s="17">
        <f t="shared" si="9"/>
        <v>4.8047491484525642</v>
      </c>
    </row>
    <row r="89" spans="1:12" x14ac:dyDescent="0.3">
      <c r="A89" s="1" t="s">
        <v>33</v>
      </c>
      <c r="B89" s="11">
        <v>2022</v>
      </c>
      <c r="C89" s="1" t="s">
        <v>42</v>
      </c>
      <c r="D89" s="2">
        <v>8500</v>
      </c>
      <c r="E89" s="2">
        <v>818</v>
      </c>
      <c r="F89" s="2">
        <f t="shared" si="5"/>
        <v>6953000</v>
      </c>
      <c r="G89" s="2">
        <v>3863261000</v>
      </c>
      <c r="H89" s="2">
        <v>185620000</v>
      </c>
      <c r="I89" s="1">
        <f t="shared" si="6"/>
        <v>334074.20829190675</v>
      </c>
      <c r="J89" s="1">
        <f t="shared" si="7"/>
        <v>4.8047491484525633</v>
      </c>
      <c r="K89" s="1">
        <f t="shared" si="8"/>
        <v>17152110000</v>
      </c>
      <c r="L89" s="17">
        <f t="shared" si="9"/>
        <v>4.8047491484525642</v>
      </c>
    </row>
    <row r="90" spans="1:12" x14ac:dyDescent="0.3">
      <c r="A90" s="1" t="s">
        <v>33</v>
      </c>
      <c r="B90" s="11">
        <v>2022</v>
      </c>
      <c r="C90" s="1" t="s">
        <v>17</v>
      </c>
      <c r="D90" s="2">
        <v>7800</v>
      </c>
      <c r="E90" s="2">
        <v>821</v>
      </c>
      <c r="F90" s="2">
        <f t="shared" si="5"/>
        <v>6403800</v>
      </c>
      <c r="G90" s="2">
        <v>3863261000</v>
      </c>
      <c r="H90" s="2">
        <v>185620000</v>
      </c>
      <c r="I90" s="1">
        <f t="shared" si="6"/>
        <v>307686.5259686053</v>
      </c>
      <c r="J90" s="1">
        <f t="shared" si="7"/>
        <v>4.8047491484525642</v>
      </c>
      <c r="K90" s="1">
        <f t="shared" si="8"/>
        <v>17152110000</v>
      </c>
      <c r="L90" s="17">
        <f t="shared" si="9"/>
        <v>4.8047491484525642</v>
      </c>
    </row>
    <row r="91" spans="1:12" x14ac:dyDescent="0.3">
      <c r="A91" s="1" t="s">
        <v>33</v>
      </c>
      <c r="B91" s="11">
        <v>2022</v>
      </c>
      <c r="C91" s="1" t="s">
        <v>43</v>
      </c>
      <c r="D91" s="2">
        <v>12800</v>
      </c>
      <c r="E91" s="2">
        <v>891</v>
      </c>
      <c r="F91" s="2">
        <f t="shared" si="5"/>
        <v>11404800</v>
      </c>
      <c r="G91" s="2">
        <v>3863261000</v>
      </c>
      <c r="H91" s="2">
        <v>185620000</v>
      </c>
      <c r="I91" s="1">
        <f t="shared" si="6"/>
        <v>547972.03088271804</v>
      </c>
      <c r="J91" s="1">
        <f t="shared" si="7"/>
        <v>4.8047491484525642</v>
      </c>
      <c r="K91" s="1">
        <f t="shared" si="8"/>
        <v>17152110000</v>
      </c>
      <c r="L91" s="17">
        <f t="shared" si="9"/>
        <v>4.8047491484525642</v>
      </c>
    </row>
    <row r="92" spans="1:12" x14ac:dyDescent="0.3">
      <c r="A92" s="1" t="s">
        <v>33</v>
      </c>
      <c r="B92" s="11">
        <v>2022</v>
      </c>
      <c r="C92" s="1" t="s">
        <v>29</v>
      </c>
      <c r="D92" s="2">
        <v>9600</v>
      </c>
      <c r="E92" s="2">
        <v>892</v>
      </c>
      <c r="F92" s="2">
        <f t="shared" si="5"/>
        <v>8563200</v>
      </c>
      <c r="G92" s="2">
        <v>3863261000</v>
      </c>
      <c r="H92" s="2">
        <v>185620000</v>
      </c>
      <c r="I92" s="1">
        <f t="shared" si="6"/>
        <v>411440.27908028994</v>
      </c>
      <c r="J92" s="1">
        <f t="shared" si="7"/>
        <v>4.8047491484525642</v>
      </c>
      <c r="K92" s="1">
        <f t="shared" si="8"/>
        <v>17152110000</v>
      </c>
      <c r="L92" s="17">
        <f t="shared" si="9"/>
        <v>4.8047491484525642</v>
      </c>
    </row>
    <row r="93" spans="1:12" x14ac:dyDescent="0.3">
      <c r="A93" s="1" t="s">
        <v>33</v>
      </c>
      <c r="B93" s="11">
        <v>2022</v>
      </c>
      <c r="C93" s="1" t="s">
        <v>28</v>
      </c>
      <c r="D93" s="2">
        <v>6900</v>
      </c>
      <c r="E93" s="2">
        <v>931</v>
      </c>
      <c r="F93" s="2">
        <f t="shared" si="5"/>
        <v>6423900</v>
      </c>
      <c r="G93" s="2">
        <v>3863261000</v>
      </c>
      <c r="H93" s="2">
        <v>185620000</v>
      </c>
      <c r="I93" s="1">
        <f t="shared" si="6"/>
        <v>308652.28054744424</v>
      </c>
      <c r="J93" s="1">
        <f t="shared" si="7"/>
        <v>4.8047491484525642</v>
      </c>
      <c r="K93" s="1">
        <f t="shared" si="8"/>
        <v>17152110000</v>
      </c>
      <c r="L93" s="17">
        <f t="shared" si="9"/>
        <v>4.8047491484525642</v>
      </c>
    </row>
    <row r="94" spans="1:12" x14ac:dyDescent="0.3">
      <c r="A94" s="1" t="s">
        <v>33</v>
      </c>
      <c r="B94" s="11">
        <v>2022</v>
      </c>
      <c r="C94" s="1" t="s">
        <v>44</v>
      </c>
      <c r="D94" s="2">
        <v>85000</v>
      </c>
      <c r="E94" s="2">
        <v>968</v>
      </c>
      <c r="F94" s="2">
        <f t="shared" si="5"/>
        <v>82280000</v>
      </c>
      <c r="G94" s="2">
        <v>3863261000</v>
      </c>
      <c r="H94" s="2">
        <v>185620000</v>
      </c>
      <c r="I94" s="1">
        <f t="shared" si="6"/>
        <v>3953347.5993467695</v>
      </c>
      <c r="J94" s="1">
        <f t="shared" si="7"/>
        <v>4.8047491484525642</v>
      </c>
      <c r="K94" s="1">
        <f t="shared" si="8"/>
        <v>17152110000</v>
      </c>
      <c r="L94" s="17">
        <f t="shared" si="9"/>
        <v>4.8047491484525642</v>
      </c>
    </row>
    <row r="95" spans="1:12" x14ac:dyDescent="0.3">
      <c r="A95" s="1" t="s">
        <v>33</v>
      </c>
      <c r="B95" s="11">
        <v>2022</v>
      </c>
      <c r="C95" s="1" t="s">
        <v>45</v>
      </c>
      <c r="D95" s="2">
        <v>120000</v>
      </c>
      <c r="E95" s="2">
        <v>1021</v>
      </c>
      <c r="F95" s="2">
        <f t="shared" si="5"/>
        <v>122520000</v>
      </c>
      <c r="G95" s="2">
        <v>3863261000</v>
      </c>
      <c r="H95" s="2">
        <v>185620000</v>
      </c>
      <c r="I95" s="1">
        <f t="shared" si="6"/>
        <v>5886778.6566840811</v>
      </c>
      <c r="J95" s="1">
        <f t="shared" si="7"/>
        <v>4.8047491484525642</v>
      </c>
      <c r="K95" s="1">
        <f t="shared" si="8"/>
        <v>17152110000</v>
      </c>
      <c r="L95" s="17">
        <f t="shared" si="9"/>
        <v>4.8047491484525642</v>
      </c>
    </row>
    <row r="96" spans="1:12" x14ac:dyDescent="0.3">
      <c r="A96" s="1" t="s">
        <v>33</v>
      </c>
      <c r="B96" s="11">
        <v>2022</v>
      </c>
      <c r="C96" s="1" t="s">
        <v>46</v>
      </c>
      <c r="D96" s="2">
        <v>95000</v>
      </c>
      <c r="E96" s="2">
        <v>1085</v>
      </c>
      <c r="F96" s="2">
        <f t="shared" si="5"/>
        <v>103075000</v>
      </c>
      <c r="G96" s="2">
        <v>3863261000</v>
      </c>
      <c r="H96" s="2">
        <v>185620000</v>
      </c>
      <c r="I96" s="1">
        <f t="shared" si="6"/>
        <v>4952495.18476748</v>
      </c>
      <c r="J96" s="1">
        <f t="shared" si="7"/>
        <v>4.8047491484525642</v>
      </c>
      <c r="K96" s="1">
        <f t="shared" si="8"/>
        <v>17152110000</v>
      </c>
      <c r="L96" s="17">
        <f t="shared" si="9"/>
        <v>4.8047491484525642</v>
      </c>
    </row>
    <row r="97" spans="1:12" x14ac:dyDescent="0.3">
      <c r="A97" s="1" t="s">
        <v>33</v>
      </c>
      <c r="B97" s="11">
        <v>2022</v>
      </c>
      <c r="C97" s="1" t="s">
        <v>47</v>
      </c>
      <c r="D97" s="2">
        <v>450000</v>
      </c>
      <c r="E97" s="2">
        <v>1134</v>
      </c>
      <c r="F97" s="2">
        <f t="shared" si="5"/>
        <v>510300000</v>
      </c>
      <c r="G97" s="2">
        <v>3863261000</v>
      </c>
      <c r="H97" s="2">
        <v>185620000</v>
      </c>
      <c r="I97" s="1">
        <f t="shared" si="6"/>
        <v>24518634.904553432</v>
      </c>
      <c r="J97" s="1">
        <f t="shared" si="7"/>
        <v>4.8047491484525633</v>
      </c>
      <c r="K97" s="1">
        <f t="shared" si="8"/>
        <v>17152110000</v>
      </c>
      <c r="L97" s="17">
        <f t="shared" si="9"/>
        <v>4.8047491484525642</v>
      </c>
    </row>
    <row r="98" spans="1:12" x14ac:dyDescent="0.3">
      <c r="A98" s="1" t="s">
        <v>33</v>
      </c>
      <c r="B98" s="11">
        <v>2023</v>
      </c>
      <c r="C98" s="1" t="s">
        <v>34</v>
      </c>
      <c r="D98" s="2">
        <v>19200</v>
      </c>
      <c r="E98" s="2">
        <v>1237</v>
      </c>
      <c r="F98" s="2">
        <f t="shared" si="5"/>
        <v>23750400</v>
      </c>
      <c r="G98" s="2">
        <v>4596643000</v>
      </c>
      <c r="H98" s="2">
        <v>544978000</v>
      </c>
      <c r="I98" s="1">
        <f t="shared" si="6"/>
        <v>2815847.4545880547</v>
      </c>
      <c r="J98" s="1">
        <f t="shared" si="7"/>
        <v>11.85600012878964</v>
      </c>
      <c r="K98" s="1">
        <f t="shared" si="8"/>
        <v>17152110000</v>
      </c>
      <c r="L98" s="17">
        <f t="shared" si="9"/>
        <v>11.85600012878964</v>
      </c>
    </row>
    <row r="99" spans="1:12" x14ac:dyDescent="0.3">
      <c r="A99" s="1" t="s">
        <v>33</v>
      </c>
      <c r="B99" s="11">
        <v>2023</v>
      </c>
      <c r="C99" s="1" t="s">
        <v>35</v>
      </c>
      <c r="D99" s="2">
        <v>27000</v>
      </c>
      <c r="E99" s="2">
        <v>1272</v>
      </c>
      <c r="F99" s="2">
        <f t="shared" si="5"/>
        <v>34344000</v>
      </c>
      <c r="G99" s="2">
        <v>4596643000</v>
      </c>
      <c r="H99" s="2">
        <v>544978000</v>
      </c>
      <c r="I99" s="1">
        <f t="shared" si="6"/>
        <v>4071824.6842315146</v>
      </c>
      <c r="J99" s="1">
        <f t="shared" si="7"/>
        <v>11.856000128789642</v>
      </c>
      <c r="K99" s="1">
        <f t="shared" si="8"/>
        <v>17152110000</v>
      </c>
      <c r="L99" s="17">
        <f t="shared" si="9"/>
        <v>11.85600012878964</v>
      </c>
    </row>
    <row r="100" spans="1:12" x14ac:dyDescent="0.3">
      <c r="A100" s="1" t="s">
        <v>33</v>
      </c>
      <c r="B100" s="11">
        <v>2023</v>
      </c>
      <c r="C100" s="1" t="s">
        <v>36</v>
      </c>
      <c r="D100" s="2">
        <v>890000</v>
      </c>
      <c r="E100" s="2">
        <v>1326</v>
      </c>
      <c r="F100" s="2">
        <f t="shared" si="5"/>
        <v>1180140000</v>
      </c>
      <c r="G100" s="2">
        <v>4596643000</v>
      </c>
      <c r="H100" s="2">
        <v>544978000</v>
      </c>
      <c r="I100" s="1">
        <f t="shared" si="6"/>
        <v>139917399.91989806</v>
      </c>
      <c r="J100" s="1">
        <f t="shared" si="7"/>
        <v>11.85600012878964</v>
      </c>
      <c r="K100" s="1">
        <f t="shared" si="8"/>
        <v>17152110000</v>
      </c>
      <c r="L100" s="17">
        <f t="shared" si="9"/>
        <v>11.85600012878964</v>
      </c>
    </row>
    <row r="101" spans="1:12" x14ac:dyDescent="0.3">
      <c r="A101" s="1" t="s">
        <v>33</v>
      </c>
      <c r="B101" s="11">
        <v>2023</v>
      </c>
      <c r="C101" s="1" t="s">
        <v>37</v>
      </c>
      <c r="D101" s="2">
        <v>680000</v>
      </c>
      <c r="E101" s="2">
        <v>1357</v>
      </c>
      <c r="F101" s="2">
        <f t="shared" si="5"/>
        <v>922760000</v>
      </c>
      <c r="G101" s="2">
        <v>4596643000</v>
      </c>
      <c r="H101" s="2">
        <v>544978000</v>
      </c>
      <c r="I101" s="1">
        <f t="shared" si="6"/>
        <v>109402426.78841929</v>
      </c>
      <c r="J101" s="1">
        <f t="shared" si="7"/>
        <v>11.856000128789642</v>
      </c>
      <c r="K101" s="1">
        <f t="shared" si="8"/>
        <v>17152110000</v>
      </c>
      <c r="L101" s="17">
        <f t="shared" si="9"/>
        <v>11.85600012878964</v>
      </c>
    </row>
    <row r="102" spans="1:12" x14ac:dyDescent="0.3">
      <c r="A102" s="1" t="s">
        <v>33</v>
      </c>
      <c r="B102" s="11">
        <v>2023</v>
      </c>
      <c r="C102" s="1" t="s">
        <v>15</v>
      </c>
      <c r="D102" s="2">
        <v>10700</v>
      </c>
      <c r="E102" s="2">
        <v>1364</v>
      </c>
      <c r="F102" s="2">
        <f t="shared" si="5"/>
        <v>14594800</v>
      </c>
      <c r="G102" s="2">
        <v>4596643000</v>
      </c>
      <c r="H102" s="2">
        <v>544978000</v>
      </c>
      <c r="I102" s="1">
        <f t="shared" si="6"/>
        <v>1730359.5067965903</v>
      </c>
      <c r="J102" s="1">
        <f t="shared" si="7"/>
        <v>11.85600012878964</v>
      </c>
      <c r="K102" s="1">
        <f t="shared" si="8"/>
        <v>17152110000</v>
      </c>
      <c r="L102" s="17">
        <f t="shared" si="9"/>
        <v>11.85600012878964</v>
      </c>
    </row>
    <row r="103" spans="1:12" x14ac:dyDescent="0.3">
      <c r="A103" s="1" t="s">
        <v>33</v>
      </c>
      <c r="B103" s="11">
        <v>2023</v>
      </c>
      <c r="C103" s="1" t="s">
        <v>38</v>
      </c>
      <c r="D103" s="2">
        <v>33500</v>
      </c>
      <c r="E103" s="2">
        <v>1559</v>
      </c>
      <c r="F103" s="2">
        <f t="shared" si="5"/>
        <v>52226500</v>
      </c>
      <c r="G103" s="2">
        <v>4596643000</v>
      </c>
      <c r="H103" s="2">
        <v>544978000</v>
      </c>
      <c r="I103" s="1">
        <f t="shared" si="6"/>
        <v>6191973.9072623225</v>
      </c>
      <c r="J103" s="1">
        <f t="shared" si="7"/>
        <v>11.856000128789642</v>
      </c>
      <c r="K103" s="1">
        <f t="shared" si="8"/>
        <v>17152110000</v>
      </c>
      <c r="L103" s="17">
        <f t="shared" si="9"/>
        <v>11.85600012878964</v>
      </c>
    </row>
    <row r="104" spans="1:12" x14ac:dyDescent="0.3">
      <c r="A104" s="1" t="s">
        <v>33</v>
      </c>
      <c r="B104" s="11">
        <v>2023</v>
      </c>
      <c r="C104" s="1" t="s">
        <v>39</v>
      </c>
      <c r="D104" s="2">
        <v>13100</v>
      </c>
      <c r="E104" s="2">
        <v>1642</v>
      </c>
      <c r="F104" s="2">
        <f t="shared" si="5"/>
        <v>21510200</v>
      </c>
      <c r="G104" s="2">
        <v>4596643000</v>
      </c>
      <c r="H104" s="2">
        <v>544978000</v>
      </c>
      <c r="I104" s="1">
        <f t="shared" si="6"/>
        <v>2550249.3397029093</v>
      </c>
      <c r="J104" s="1">
        <f t="shared" si="7"/>
        <v>11.856000128789642</v>
      </c>
      <c r="K104" s="1">
        <f t="shared" si="8"/>
        <v>17152110000</v>
      </c>
      <c r="L104" s="17">
        <f t="shared" si="9"/>
        <v>11.85600012878964</v>
      </c>
    </row>
    <row r="105" spans="1:12" x14ac:dyDescent="0.3">
      <c r="A105" s="1" t="s">
        <v>33</v>
      </c>
      <c r="B105" s="11">
        <v>2023</v>
      </c>
      <c r="C105" s="1" t="s">
        <v>40</v>
      </c>
      <c r="D105" s="2">
        <v>1260000</v>
      </c>
      <c r="E105" s="2">
        <v>1799</v>
      </c>
      <c r="F105" s="2">
        <f t="shared" si="5"/>
        <v>2266740000</v>
      </c>
      <c r="G105" s="2">
        <v>4596643000</v>
      </c>
      <c r="H105" s="2">
        <v>544978000</v>
      </c>
      <c r="I105" s="1">
        <f t="shared" si="6"/>
        <v>268744697.31932628</v>
      </c>
      <c r="J105" s="1">
        <f t="shared" si="7"/>
        <v>11.85600012878964</v>
      </c>
      <c r="K105" s="1">
        <f t="shared" si="8"/>
        <v>17152110000</v>
      </c>
      <c r="L105" s="17">
        <f t="shared" si="9"/>
        <v>11.85600012878964</v>
      </c>
    </row>
    <row r="106" spans="1:12" x14ac:dyDescent="0.3">
      <c r="A106" s="1" t="s">
        <v>33</v>
      </c>
      <c r="B106" s="11">
        <v>2023</v>
      </c>
      <c r="C106" s="1" t="s">
        <v>41</v>
      </c>
      <c r="D106" s="2">
        <v>189000</v>
      </c>
      <c r="E106" s="2">
        <v>1832</v>
      </c>
      <c r="F106" s="2">
        <f t="shared" si="5"/>
        <v>346248000</v>
      </c>
      <c r="G106" s="2">
        <v>4596643000</v>
      </c>
      <c r="H106" s="2">
        <v>544978000</v>
      </c>
      <c r="I106" s="1">
        <f t="shared" si="6"/>
        <v>41051163.325931557</v>
      </c>
      <c r="J106" s="1">
        <f t="shared" si="7"/>
        <v>11.856000128789642</v>
      </c>
      <c r="K106" s="1">
        <f t="shared" si="8"/>
        <v>17152110000</v>
      </c>
      <c r="L106" s="17">
        <f t="shared" si="9"/>
        <v>11.85600012878964</v>
      </c>
    </row>
    <row r="107" spans="1:12" x14ac:dyDescent="0.3">
      <c r="A107" s="1" t="s">
        <v>33</v>
      </c>
      <c r="B107" s="11">
        <v>2023</v>
      </c>
      <c r="C107" s="1" t="s">
        <v>42</v>
      </c>
      <c r="D107" s="2">
        <v>8900</v>
      </c>
      <c r="E107" s="2">
        <v>2039</v>
      </c>
      <c r="F107" s="2">
        <f t="shared" si="5"/>
        <v>18147100</v>
      </c>
      <c r="G107" s="2">
        <v>4596643000</v>
      </c>
      <c r="H107" s="2">
        <v>544978000</v>
      </c>
      <c r="I107" s="1">
        <f t="shared" si="6"/>
        <v>2151520.1993715847</v>
      </c>
      <c r="J107" s="1">
        <f t="shared" si="7"/>
        <v>11.85600012878964</v>
      </c>
      <c r="K107" s="1">
        <f t="shared" si="8"/>
        <v>17152110000</v>
      </c>
      <c r="L107" s="17">
        <f t="shared" si="9"/>
        <v>11.85600012878964</v>
      </c>
    </row>
    <row r="108" spans="1:12" x14ac:dyDescent="0.3">
      <c r="A108" s="1" t="s">
        <v>33</v>
      </c>
      <c r="B108" s="11">
        <v>2023</v>
      </c>
      <c r="C108" s="1" t="s">
        <v>17</v>
      </c>
      <c r="D108" s="2">
        <v>8200</v>
      </c>
      <c r="E108" s="2">
        <v>2169</v>
      </c>
      <c r="F108" s="2">
        <f t="shared" si="5"/>
        <v>17785800</v>
      </c>
      <c r="G108" s="2">
        <v>4596643000</v>
      </c>
      <c r="H108" s="2">
        <v>544978000</v>
      </c>
      <c r="I108" s="1">
        <f t="shared" si="6"/>
        <v>2108684.4709062679</v>
      </c>
      <c r="J108" s="1">
        <f t="shared" si="7"/>
        <v>11.85600012878964</v>
      </c>
      <c r="K108" s="1">
        <f t="shared" si="8"/>
        <v>17152110000</v>
      </c>
      <c r="L108" s="17">
        <f t="shared" si="9"/>
        <v>11.85600012878964</v>
      </c>
    </row>
    <row r="109" spans="1:12" x14ac:dyDescent="0.3">
      <c r="A109" s="1" t="s">
        <v>33</v>
      </c>
      <c r="B109" s="11">
        <v>2023</v>
      </c>
      <c r="C109" s="1" t="s">
        <v>43</v>
      </c>
      <c r="D109" s="2">
        <v>13400</v>
      </c>
      <c r="E109" s="2">
        <v>2189</v>
      </c>
      <c r="F109" s="2">
        <f t="shared" si="5"/>
        <v>29332600</v>
      </c>
      <c r="G109" s="2">
        <v>4596643000</v>
      </c>
      <c r="H109" s="2">
        <v>544978000</v>
      </c>
      <c r="I109" s="1">
        <f t="shared" si="6"/>
        <v>3477673.0937773502</v>
      </c>
      <c r="J109" s="1">
        <f t="shared" si="7"/>
        <v>11.856000128789642</v>
      </c>
      <c r="K109" s="1">
        <f t="shared" si="8"/>
        <v>17152110000</v>
      </c>
      <c r="L109" s="17">
        <f t="shared" si="9"/>
        <v>11.85600012878964</v>
      </c>
    </row>
    <row r="110" spans="1:12" x14ac:dyDescent="0.3">
      <c r="A110" s="1" t="s">
        <v>33</v>
      </c>
      <c r="B110" s="11">
        <v>2023</v>
      </c>
      <c r="C110" s="1" t="s">
        <v>29</v>
      </c>
      <c r="D110" s="2">
        <v>10100</v>
      </c>
      <c r="E110" s="2">
        <v>2249</v>
      </c>
      <c r="F110" s="2">
        <f t="shared" si="5"/>
        <v>22714900</v>
      </c>
      <c r="G110" s="2">
        <v>4596643000</v>
      </c>
      <c r="H110" s="2">
        <v>544978000</v>
      </c>
      <c r="I110" s="1">
        <f t="shared" si="6"/>
        <v>2693078.5732544381</v>
      </c>
      <c r="J110" s="1">
        <f t="shared" si="7"/>
        <v>11.856000128789642</v>
      </c>
      <c r="K110" s="1">
        <f t="shared" si="8"/>
        <v>17152110000</v>
      </c>
      <c r="L110" s="17">
        <f t="shared" si="9"/>
        <v>11.85600012878964</v>
      </c>
    </row>
    <row r="111" spans="1:12" x14ac:dyDescent="0.3">
      <c r="A111" s="1" t="s">
        <v>33</v>
      </c>
      <c r="B111" s="11">
        <v>2023</v>
      </c>
      <c r="C111" s="1" t="s">
        <v>28</v>
      </c>
      <c r="D111" s="2">
        <v>7250</v>
      </c>
      <c r="E111" s="2">
        <v>2290</v>
      </c>
      <c r="F111" s="2">
        <f t="shared" si="5"/>
        <v>16602500</v>
      </c>
      <c r="G111" s="2">
        <v>4596643000</v>
      </c>
      <c r="H111" s="2">
        <v>544978000</v>
      </c>
      <c r="I111" s="1">
        <f t="shared" si="6"/>
        <v>1968392.4213823001</v>
      </c>
      <c r="J111" s="1">
        <f t="shared" si="7"/>
        <v>11.856000128789642</v>
      </c>
      <c r="K111" s="1">
        <f t="shared" si="8"/>
        <v>17152110000</v>
      </c>
      <c r="L111" s="17">
        <f t="shared" si="9"/>
        <v>11.85600012878964</v>
      </c>
    </row>
    <row r="112" spans="1:12" x14ac:dyDescent="0.3">
      <c r="A112" s="1" t="s">
        <v>33</v>
      </c>
      <c r="B112" s="11">
        <v>2023</v>
      </c>
      <c r="C112" s="1" t="s">
        <v>44</v>
      </c>
      <c r="D112" s="2">
        <v>89000</v>
      </c>
      <c r="E112" s="2">
        <v>2503</v>
      </c>
      <c r="F112" s="2">
        <f t="shared" si="5"/>
        <v>222767000</v>
      </c>
      <c r="G112" s="2">
        <v>4596643000</v>
      </c>
      <c r="H112" s="2">
        <v>544978000</v>
      </c>
      <c r="I112" s="1">
        <f t="shared" si="6"/>
        <v>26411255.806900822</v>
      </c>
      <c r="J112" s="1">
        <f t="shared" si="7"/>
        <v>11.856000128789642</v>
      </c>
      <c r="K112" s="1">
        <f t="shared" si="8"/>
        <v>17152110000</v>
      </c>
      <c r="L112" s="17">
        <f t="shared" si="9"/>
        <v>11.85600012878964</v>
      </c>
    </row>
    <row r="113" spans="1:12" x14ac:dyDescent="0.3">
      <c r="A113" s="1" t="s">
        <v>33</v>
      </c>
      <c r="B113" s="11">
        <v>2023</v>
      </c>
      <c r="C113" s="1" t="s">
        <v>45</v>
      </c>
      <c r="D113" s="2">
        <v>126000</v>
      </c>
      <c r="E113" s="2">
        <v>2738</v>
      </c>
      <c r="F113" s="2">
        <f t="shared" si="5"/>
        <v>344988000</v>
      </c>
      <c r="G113" s="2">
        <v>4596643000</v>
      </c>
      <c r="H113" s="2">
        <v>544978000</v>
      </c>
      <c r="I113" s="1">
        <f t="shared" si="6"/>
        <v>40901777.724308811</v>
      </c>
      <c r="J113" s="1">
        <f t="shared" si="7"/>
        <v>11.856000128789642</v>
      </c>
      <c r="K113" s="1">
        <f t="shared" si="8"/>
        <v>17152110000</v>
      </c>
      <c r="L113" s="17">
        <f t="shared" si="9"/>
        <v>11.85600012878964</v>
      </c>
    </row>
    <row r="114" spans="1:12" x14ac:dyDescent="0.3">
      <c r="A114" s="1" t="s">
        <v>33</v>
      </c>
      <c r="B114" s="11">
        <v>2023</v>
      </c>
      <c r="C114" s="1" t="s">
        <v>46</v>
      </c>
      <c r="D114" s="2">
        <v>100000</v>
      </c>
      <c r="E114" s="2">
        <v>3045</v>
      </c>
      <c r="F114" s="2">
        <f t="shared" si="5"/>
        <v>304500000</v>
      </c>
      <c r="G114" s="2">
        <v>4596643000</v>
      </c>
      <c r="H114" s="2">
        <v>544978000</v>
      </c>
      <c r="I114" s="1">
        <f t="shared" si="6"/>
        <v>36101520.392164461</v>
      </c>
      <c r="J114" s="1">
        <f t="shared" si="7"/>
        <v>11.856000128789642</v>
      </c>
      <c r="K114" s="1">
        <f t="shared" si="8"/>
        <v>17152110000</v>
      </c>
      <c r="L114" s="17">
        <f t="shared" si="9"/>
        <v>11.85600012878964</v>
      </c>
    </row>
    <row r="115" spans="1:12" x14ac:dyDescent="0.3">
      <c r="A115" s="1" t="s">
        <v>33</v>
      </c>
      <c r="B115" s="11">
        <v>2023</v>
      </c>
      <c r="C115" s="1" t="s">
        <v>47</v>
      </c>
      <c r="D115" s="2">
        <v>472000</v>
      </c>
      <c r="E115" s="2">
        <v>3312</v>
      </c>
      <c r="F115" s="2">
        <f t="shared" si="5"/>
        <v>1563264000</v>
      </c>
      <c r="G115" s="2">
        <v>4596643000</v>
      </c>
      <c r="H115" s="2">
        <v>544978000</v>
      </c>
      <c r="I115" s="1">
        <f t="shared" si="6"/>
        <v>185340581.85332209</v>
      </c>
      <c r="J115" s="1">
        <f t="shared" si="7"/>
        <v>11.856000128789642</v>
      </c>
      <c r="K115" s="1">
        <f t="shared" si="8"/>
        <v>17152110000</v>
      </c>
      <c r="L115" s="17">
        <f t="shared" si="9"/>
        <v>11.85600012878964</v>
      </c>
    </row>
    <row r="116" spans="1:12" x14ac:dyDescent="0.3">
      <c r="A116" s="1" t="s">
        <v>33</v>
      </c>
      <c r="B116" s="11">
        <v>2024</v>
      </c>
      <c r="C116" s="1" t="s">
        <v>34</v>
      </c>
      <c r="D116" s="2">
        <v>20000</v>
      </c>
      <c r="E116" s="2">
        <v>3809</v>
      </c>
      <c r="F116" s="2">
        <f t="shared" si="5"/>
        <v>76180000</v>
      </c>
      <c r="G116" s="2">
        <v>5511710000</v>
      </c>
      <c r="H116" s="2">
        <v>222297000</v>
      </c>
      <c r="I116" s="1">
        <f t="shared" si="6"/>
        <v>3072473.9618013282</v>
      </c>
      <c r="J116" s="1">
        <f t="shared" si="7"/>
        <v>4.0331766366517829</v>
      </c>
      <c r="K116" s="1">
        <f t="shared" si="8"/>
        <v>17152110000</v>
      </c>
      <c r="L116" s="17">
        <f t="shared" si="9"/>
        <v>4.0331766366517838</v>
      </c>
    </row>
    <row r="117" spans="1:12" x14ac:dyDescent="0.3">
      <c r="A117" s="1" t="s">
        <v>33</v>
      </c>
      <c r="B117" s="11">
        <v>2024</v>
      </c>
      <c r="C117" s="1" t="s">
        <v>35</v>
      </c>
      <c r="D117" s="2">
        <v>28200</v>
      </c>
      <c r="E117" s="2">
        <v>3890</v>
      </c>
      <c r="F117" s="2">
        <f t="shared" si="5"/>
        <v>109698000</v>
      </c>
      <c r="G117" s="2">
        <v>5511710000</v>
      </c>
      <c r="H117" s="2">
        <v>222297000</v>
      </c>
      <c r="I117" s="1">
        <f t="shared" si="6"/>
        <v>4424314.1068742732</v>
      </c>
      <c r="J117" s="1">
        <f t="shared" si="7"/>
        <v>4.0331766366517838</v>
      </c>
      <c r="K117" s="1">
        <f t="shared" si="8"/>
        <v>17152110000</v>
      </c>
      <c r="L117" s="17">
        <f t="shared" si="9"/>
        <v>4.0331766366517838</v>
      </c>
    </row>
    <row r="118" spans="1:12" x14ac:dyDescent="0.3">
      <c r="A118" s="1" t="s">
        <v>33</v>
      </c>
      <c r="B118" s="11">
        <v>2024</v>
      </c>
      <c r="C118" s="1" t="s">
        <v>36</v>
      </c>
      <c r="D118" s="2">
        <v>930000</v>
      </c>
      <c r="E118" s="2">
        <v>3905</v>
      </c>
      <c r="F118" s="2">
        <f t="shared" si="5"/>
        <v>3631650000</v>
      </c>
      <c r="G118" s="2">
        <v>5511710000</v>
      </c>
      <c r="H118" s="2">
        <v>222297000</v>
      </c>
      <c r="I118" s="1">
        <f t="shared" si="6"/>
        <v>146470859.32496449</v>
      </c>
      <c r="J118" s="1">
        <f t="shared" si="7"/>
        <v>4.0331766366517838</v>
      </c>
      <c r="K118" s="1">
        <f t="shared" si="8"/>
        <v>17152110000</v>
      </c>
      <c r="L118" s="17">
        <f t="shared" si="9"/>
        <v>4.0331766366517838</v>
      </c>
    </row>
    <row r="119" spans="1:12" x14ac:dyDescent="0.3">
      <c r="A119" s="1" t="s">
        <v>33</v>
      </c>
      <c r="B119" s="11">
        <v>2024</v>
      </c>
      <c r="C119" s="1" t="s">
        <v>37</v>
      </c>
      <c r="D119" s="2">
        <v>710000</v>
      </c>
      <c r="E119" s="2">
        <v>4001</v>
      </c>
      <c r="F119" s="2">
        <f t="shared" si="5"/>
        <v>2840710000</v>
      </c>
      <c r="G119" s="2">
        <v>5511710000</v>
      </c>
      <c r="H119" s="2">
        <v>222297000</v>
      </c>
      <c r="I119" s="1">
        <f t="shared" si="6"/>
        <v>114570852.03503086</v>
      </c>
      <c r="J119" s="1">
        <f t="shared" si="7"/>
        <v>4.0331766366517829</v>
      </c>
      <c r="K119" s="1">
        <f t="shared" si="8"/>
        <v>17152110000</v>
      </c>
      <c r="L119" s="17">
        <f t="shared" si="9"/>
        <v>4.0331766366517838</v>
      </c>
    </row>
    <row r="120" spans="1:12" x14ac:dyDescent="0.3">
      <c r="A120" s="1" t="s">
        <v>33</v>
      </c>
      <c r="B120" s="11">
        <v>2024</v>
      </c>
      <c r="C120" s="1" t="s">
        <v>15</v>
      </c>
      <c r="D120" s="2">
        <v>11200</v>
      </c>
      <c r="E120" s="2">
        <v>4001</v>
      </c>
      <c r="F120" s="2">
        <f t="shared" si="5"/>
        <v>44811200</v>
      </c>
      <c r="G120" s="2">
        <v>5511710000</v>
      </c>
      <c r="H120" s="2">
        <v>222297000</v>
      </c>
      <c r="I120" s="1">
        <f t="shared" si="6"/>
        <v>1807314.849003304</v>
      </c>
      <c r="J120" s="1">
        <f t="shared" si="7"/>
        <v>4.0331766366517838</v>
      </c>
      <c r="K120" s="1">
        <f t="shared" si="8"/>
        <v>17152110000</v>
      </c>
      <c r="L120" s="17">
        <f t="shared" si="9"/>
        <v>4.0331766366517838</v>
      </c>
    </row>
    <row r="121" spans="1:12" x14ac:dyDescent="0.3">
      <c r="A121" s="1" t="s">
        <v>33</v>
      </c>
      <c r="B121" s="11">
        <v>2024</v>
      </c>
      <c r="C121" s="1" t="s">
        <v>38</v>
      </c>
      <c r="D121" s="2">
        <v>35000</v>
      </c>
      <c r="E121" s="2">
        <v>4001</v>
      </c>
      <c r="F121" s="2">
        <f t="shared" si="5"/>
        <v>140035000</v>
      </c>
      <c r="G121" s="2">
        <v>5511710000</v>
      </c>
      <c r="H121" s="2">
        <v>222297000</v>
      </c>
      <c r="I121" s="1">
        <f t="shared" si="6"/>
        <v>5647858.9031353248</v>
      </c>
      <c r="J121" s="1">
        <f t="shared" si="7"/>
        <v>4.0331766366517838</v>
      </c>
      <c r="K121" s="1">
        <f t="shared" si="8"/>
        <v>17152110000</v>
      </c>
      <c r="L121" s="17">
        <f t="shared" si="9"/>
        <v>4.0331766366517838</v>
      </c>
    </row>
    <row r="122" spans="1:12" x14ac:dyDescent="0.3">
      <c r="A122" s="1" t="s">
        <v>33</v>
      </c>
      <c r="B122" s="11">
        <v>2024</v>
      </c>
      <c r="C122" s="1" t="s">
        <v>39</v>
      </c>
      <c r="D122" s="2">
        <v>13800</v>
      </c>
      <c r="E122" s="2">
        <v>4113</v>
      </c>
      <c r="F122" s="2">
        <f t="shared" si="5"/>
        <v>56759400</v>
      </c>
      <c r="G122" s="2">
        <v>5511710000</v>
      </c>
      <c r="H122" s="2">
        <v>222297000</v>
      </c>
      <c r="I122" s="1">
        <f t="shared" si="6"/>
        <v>2289206.8599037323</v>
      </c>
      <c r="J122" s="1">
        <f t="shared" si="7"/>
        <v>4.0331766366517838</v>
      </c>
      <c r="K122" s="1">
        <f t="shared" si="8"/>
        <v>17152110000</v>
      </c>
      <c r="L122" s="17">
        <f t="shared" si="9"/>
        <v>4.0331766366517838</v>
      </c>
    </row>
    <row r="123" spans="1:12" x14ac:dyDescent="0.3">
      <c r="A123" s="1" t="s">
        <v>33</v>
      </c>
      <c r="B123" s="11">
        <v>2024</v>
      </c>
      <c r="C123" s="1" t="s">
        <v>40</v>
      </c>
      <c r="D123" s="2">
        <v>1320000</v>
      </c>
      <c r="E123" s="2">
        <v>4243</v>
      </c>
      <c r="F123" s="2">
        <f t="shared" si="5"/>
        <v>5600760000</v>
      </c>
      <c r="G123" s="2">
        <v>5511710000</v>
      </c>
      <c r="H123" s="2">
        <v>222297000</v>
      </c>
      <c r="I123" s="1">
        <f t="shared" si="6"/>
        <v>225888543.79493842</v>
      </c>
      <c r="J123" s="1">
        <f t="shared" si="7"/>
        <v>4.0331766366517838</v>
      </c>
      <c r="K123" s="1">
        <f t="shared" si="8"/>
        <v>17152110000</v>
      </c>
      <c r="L123" s="17">
        <f t="shared" si="9"/>
        <v>4.0331766366517838</v>
      </c>
    </row>
    <row r="124" spans="1:12" x14ac:dyDescent="0.3">
      <c r="A124" s="1" t="s">
        <v>33</v>
      </c>
      <c r="B124" s="11">
        <v>2024</v>
      </c>
      <c r="C124" s="1" t="s">
        <v>41</v>
      </c>
      <c r="D124" s="2">
        <v>198000</v>
      </c>
      <c r="E124" s="2">
        <v>4244</v>
      </c>
      <c r="F124" s="2">
        <f t="shared" si="5"/>
        <v>840312000</v>
      </c>
      <c r="G124" s="2">
        <v>5511710000</v>
      </c>
      <c r="H124" s="2">
        <v>222297000</v>
      </c>
      <c r="I124" s="1">
        <f t="shared" si="6"/>
        <v>33891267.258981332</v>
      </c>
      <c r="J124" s="1">
        <f t="shared" si="7"/>
        <v>4.0331766366517838</v>
      </c>
      <c r="K124" s="1">
        <f t="shared" si="8"/>
        <v>17152110000</v>
      </c>
      <c r="L124" s="17">
        <f t="shared" si="9"/>
        <v>4.0331766366517838</v>
      </c>
    </row>
    <row r="125" spans="1:12" x14ac:dyDescent="0.3">
      <c r="A125" s="1" t="s">
        <v>33</v>
      </c>
      <c r="B125" s="11">
        <v>2024</v>
      </c>
      <c r="C125" s="1" t="s">
        <v>42</v>
      </c>
      <c r="D125" s="2">
        <v>9350</v>
      </c>
      <c r="E125" s="2">
        <v>4376</v>
      </c>
      <c r="F125" s="2">
        <f t="shared" si="5"/>
        <v>40915600</v>
      </c>
      <c r="G125" s="2">
        <v>5511710000</v>
      </c>
      <c r="H125" s="2">
        <v>222297000</v>
      </c>
      <c r="I125" s="1">
        <f t="shared" si="6"/>
        <v>1650198.4199458971</v>
      </c>
      <c r="J125" s="1">
        <f t="shared" si="7"/>
        <v>4.0331766366517838</v>
      </c>
      <c r="K125" s="1">
        <f t="shared" si="8"/>
        <v>17152110000</v>
      </c>
      <c r="L125" s="17">
        <f t="shared" si="9"/>
        <v>4.0331766366517838</v>
      </c>
    </row>
    <row r="126" spans="1:12" x14ac:dyDescent="0.3">
      <c r="A126" s="1" t="s">
        <v>33</v>
      </c>
      <c r="B126" s="11">
        <v>2024</v>
      </c>
      <c r="C126" s="1" t="s">
        <v>17</v>
      </c>
      <c r="D126" s="2">
        <v>8600</v>
      </c>
      <c r="E126" s="2">
        <v>4376</v>
      </c>
      <c r="F126" s="2">
        <f t="shared" si="5"/>
        <v>37633600</v>
      </c>
      <c r="G126" s="2">
        <v>5511710000</v>
      </c>
      <c r="H126" s="2">
        <v>222297000</v>
      </c>
      <c r="I126" s="1">
        <f t="shared" si="6"/>
        <v>1517829.5627309855</v>
      </c>
      <c r="J126" s="1">
        <f t="shared" si="7"/>
        <v>4.0331766366517829</v>
      </c>
      <c r="K126" s="1">
        <f t="shared" si="8"/>
        <v>17152110000</v>
      </c>
      <c r="L126" s="17">
        <f t="shared" si="9"/>
        <v>4.0331766366517838</v>
      </c>
    </row>
    <row r="127" spans="1:12" x14ac:dyDescent="0.3">
      <c r="A127" s="1" t="s">
        <v>33</v>
      </c>
      <c r="B127" s="11">
        <v>2024</v>
      </c>
      <c r="C127" s="1" t="s">
        <v>43</v>
      </c>
      <c r="D127" s="2">
        <v>14100</v>
      </c>
      <c r="E127" s="2">
        <v>4376</v>
      </c>
      <c r="F127" s="2">
        <f t="shared" si="5"/>
        <v>61701600</v>
      </c>
      <c r="G127" s="2">
        <v>5511710000</v>
      </c>
      <c r="H127" s="2">
        <v>222297000</v>
      </c>
      <c r="I127" s="1">
        <f t="shared" si="6"/>
        <v>2488534.5156403366</v>
      </c>
      <c r="J127" s="1">
        <f t="shared" si="7"/>
        <v>4.0331766366517829</v>
      </c>
      <c r="K127" s="1">
        <f t="shared" si="8"/>
        <v>17152110000</v>
      </c>
      <c r="L127" s="17">
        <f t="shared" si="9"/>
        <v>4.0331766366517838</v>
      </c>
    </row>
    <row r="128" spans="1:12" x14ac:dyDescent="0.3">
      <c r="A128" s="1" t="s">
        <v>33</v>
      </c>
      <c r="B128" s="11">
        <v>2024</v>
      </c>
      <c r="C128" s="1" t="s">
        <v>29</v>
      </c>
      <c r="D128" s="2">
        <v>10600</v>
      </c>
      <c r="E128" s="2">
        <v>4376</v>
      </c>
      <c r="F128" s="2">
        <f t="shared" si="5"/>
        <v>46385600</v>
      </c>
      <c r="G128" s="2">
        <v>5511710000</v>
      </c>
      <c r="H128" s="2">
        <v>222297000</v>
      </c>
      <c r="I128" s="1">
        <f t="shared" si="6"/>
        <v>1870813.1819707495</v>
      </c>
      <c r="J128" s="1">
        <f t="shared" si="7"/>
        <v>4.0331766366517829</v>
      </c>
      <c r="K128" s="1">
        <f t="shared" si="8"/>
        <v>17152110000</v>
      </c>
      <c r="L128" s="17">
        <f t="shared" si="9"/>
        <v>4.0331766366517838</v>
      </c>
    </row>
    <row r="129" spans="1:12" x14ac:dyDescent="0.3">
      <c r="A129" s="1" t="s">
        <v>33</v>
      </c>
      <c r="B129" s="11">
        <v>2024</v>
      </c>
      <c r="C129" s="1" t="s">
        <v>28</v>
      </c>
      <c r="D129" s="2">
        <v>7600</v>
      </c>
      <c r="E129" s="2">
        <v>4394</v>
      </c>
      <c r="F129" s="2">
        <f t="shared" si="5"/>
        <v>33394400</v>
      </c>
      <c r="G129" s="2">
        <v>5511710000</v>
      </c>
      <c r="H129" s="2">
        <v>222297000</v>
      </c>
      <c r="I129" s="1">
        <f t="shared" si="6"/>
        <v>1346855.138750043</v>
      </c>
      <c r="J129" s="1">
        <f t="shared" si="7"/>
        <v>4.0331766366517829</v>
      </c>
      <c r="K129" s="1">
        <f t="shared" si="8"/>
        <v>17152110000</v>
      </c>
      <c r="L129" s="17">
        <f t="shared" si="9"/>
        <v>4.0331766366517838</v>
      </c>
    </row>
    <row r="130" spans="1:12" x14ac:dyDescent="0.3">
      <c r="A130" s="1" t="s">
        <v>33</v>
      </c>
      <c r="B130" s="11">
        <v>2024</v>
      </c>
      <c r="C130" s="1" t="s">
        <v>44</v>
      </c>
      <c r="D130" s="2">
        <v>93500</v>
      </c>
      <c r="E130" s="2">
        <v>4517</v>
      </c>
      <c r="F130" s="2">
        <f t="shared" ref="F130:F193" si="10">E130*D130</f>
        <v>422339500</v>
      </c>
      <c r="G130" s="2">
        <v>5511710000</v>
      </c>
      <c r="H130" s="2">
        <v>222297000</v>
      </c>
      <c r="I130" s="1">
        <f t="shared" si="6"/>
        <v>17033698.041351959</v>
      </c>
      <c r="J130" s="1">
        <f t="shared" si="7"/>
        <v>4.0331766366517838</v>
      </c>
      <c r="K130" s="1">
        <f t="shared" si="8"/>
        <v>17152110000</v>
      </c>
      <c r="L130" s="17">
        <f t="shared" si="9"/>
        <v>4.0331766366517838</v>
      </c>
    </row>
    <row r="131" spans="1:12" x14ac:dyDescent="0.3">
      <c r="A131" s="1" t="s">
        <v>33</v>
      </c>
      <c r="B131" s="11">
        <v>2024</v>
      </c>
      <c r="C131" s="1" t="s">
        <v>45</v>
      </c>
      <c r="D131" s="2">
        <v>132000</v>
      </c>
      <c r="E131" s="2">
        <v>4517</v>
      </c>
      <c r="F131" s="2">
        <f t="shared" si="10"/>
        <v>596244000</v>
      </c>
      <c r="G131" s="2">
        <v>5511710000</v>
      </c>
      <c r="H131" s="2">
        <v>222297000</v>
      </c>
      <c r="I131" s="1">
        <f t="shared" ref="I131:I194" si="11">IF(F131&gt;0,H131*(F131/G131),0)</f>
        <v>24047573.705438059</v>
      </c>
      <c r="J131" s="1">
        <f t="shared" ref="J131:J194" si="12">IF(F131&gt;0,I131/F131*100,0)</f>
        <v>4.0331766366517838</v>
      </c>
      <c r="K131" s="1">
        <f t="shared" ref="K131:K194" si="13">SUMIF(A:A,A131,H:H)</f>
        <v>17152110000</v>
      </c>
      <c r="L131" s="17">
        <f t="shared" ref="L131:L194" si="14">IF(G131&gt;0,H131/G131*100,0)</f>
        <v>4.0331766366517838</v>
      </c>
    </row>
    <row r="132" spans="1:12" x14ac:dyDescent="0.3">
      <c r="A132" s="1" t="s">
        <v>33</v>
      </c>
      <c r="B132" s="11">
        <v>2024</v>
      </c>
      <c r="C132" s="1" t="s">
        <v>46</v>
      </c>
      <c r="D132" s="2">
        <v>105000</v>
      </c>
      <c r="E132" s="2">
        <v>4537</v>
      </c>
      <c r="F132" s="2">
        <f t="shared" si="10"/>
        <v>476385000</v>
      </c>
      <c r="G132" s="2">
        <v>5511710000</v>
      </c>
      <c r="H132" s="2">
        <v>222297000</v>
      </c>
      <c r="I132" s="1">
        <f t="shared" si="11"/>
        <v>19213448.520513598</v>
      </c>
      <c r="J132" s="1">
        <f t="shared" si="12"/>
        <v>4.0331766366517838</v>
      </c>
      <c r="K132" s="1">
        <f t="shared" si="13"/>
        <v>17152110000</v>
      </c>
      <c r="L132" s="17">
        <f t="shared" si="14"/>
        <v>4.0331766366517838</v>
      </c>
    </row>
    <row r="133" spans="1:12" x14ac:dyDescent="0.3">
      <c r="A133" s="1" t="s">
        <v>33</v>
      </c>
      <c r="B133" s="11">
        <v>2024</v>
      </c>
      <c r="C133" s="1" t="s">
        <v>47</v>
      </c>
      <c r="D133" s="2">
        <v>495000</v>
      </c>
      <c r="E133" s="2">
        <v>4608</v>
      </c>
      <c r="F133" s="2">
        <f t="shared" si="10"/>
        <v>2280960000</v>
      </c>
      <c r="G133" s="2">
        <v>5511710000</v>
      </c>
      <c r="H133" s="2">
        <v>222297000</v>
      </c>
      <c r="I133" s="1">
        <f t="shared" si="11"/>
        <v>91995145.811372519</v>
      </c>
      <c r="J133" s="1">
        <f t="shared" si="12"/>
        <v>4.0331766366517838</v>
      </c>
      <c r="K133" s="1">
        <f t="shared" si="13"/>
        <v>17152110000</v>
      </c>
      <c r="L133" s="17">
        <f t="shared" si="14"/>
        <v>4.0331766366517838</v>
      </c>
    </row>
    <row r="134" spans="1:12" x14ac:dyDescent="0.3">
      <c r="A134" s="1" t="s">
        <v>48</v>
      </c>
      <c r="B134" s="11">
        <v>2022</v>
      </c>
      <c r="C134" s="1" t="s">
        <v>49</v>
      </c>
      <c r="D134" s="2">
        <v>85000</v>
      </c>
      <c r="E134" s="2">
        <v>4621</v>
      </c>
      <c r="F134" s="2">
        <f t="shared" si="10"/>
        <v>392785000</v>
      </c>
      <c r="G134" s="2">
        <v>183702186000</v>
      </c>
      <c r="H134" s="2">
        <v>57784864000</v>
      </c>
      <c r="I134" s="1">
        <f t="shared" si="11"/>
        <v>123553389.86679232</v>
      </c>
      <c r="J134" s="1">
        <f t="shared" si="12"/>
        <v>31.455730200183897</v>
      </c>
      <c r="K134" s="1">
        <f t="shared" si="13"/>
        <v>1811953692000</v>
      </c>
      <c r="L134" s="17">
        <f t="shared" si="14"/>
        <v>31.455730200183901</v>
      </c>
    </row>
    <row r="135" spans="1:12" x14ac:dyDescent="0.3">
      <c r="A135" s="1" t="s">
        <v>48</v>
      </c>
      <c r="B135" s="11">
        <v>2022</v>
      </c>
      <c r="C135" s="1" t="s">
        <v>50</v>
      </c>
      <c r="D135" s="2">
        <v>78000</v>
      </c>
      <c r="E135" s="2">
        <v>4829</v>
      </c>
      <c r="F135" s="2">
        <f t="shared" si="10"/>
        <v>376662000</v>
      </c>
      <c r="G135" s="2">
        <v>183702186000</v>
      </c>
      <c r="H135" s="2">
        <v>57784864000</v>
      </c>
      <c r="I135" s="1">
        <f t="shared" si="11"/>
        <v>118481782.48661667</v>
      </c>
      <c r="J135" s="1">
        <f t="shared" si="12"/>
        <v>31.455730200183897</v>
      </c>
      <c r="K135" s="1">
        <f t="shared" si="13"/>
        <v>1811953692000</v>
      </c>
      <c r="L135" s="17">
        <f t="shared" si="14"/>
        <v>31.455730200183901</v>
      </c>
    </row>
    <row r="136" spans="1:12" x14ac:dyDescent="0.3">
      <c r="A136" s="1" t="s">
        <v>48</v>
      </c>
      <c r="B136" s="11">
        <v>2022</v>
      </c>
      <c r="C136" s="1" t="s">
        <v>51</v>
      </c>
      <c r="D136" s="2">
        <v>65000</v>
      </c>
      <c r="E136" s="2">
        <v>4829</v>
      </c>
      <c r="F136" s="2">
        <f t="shared" si="10"/>
        <v>313885000</v>
      </c>
      <c r="G136" s="2">
        <v>183702186000</v>
      </c>
      <c r="H136" s="2">
        <v>57784864000</v>
      </c>
      <c r="I136" s="1">
        <f t="shared" si="11"/>
        <v>98734818.738847241</v>
      </c>
      <c r="J136" s="1">
        <f t="shared" si="12"/>
        <v>31.455730200183901</v>
      </c>
      <c r="K136" s="1">
        <f t="shared" si="13"/>
        <v>1811953692000</v>
      </c>
      <c r="L136" s="17">
        <f t="shared" si="14"/>
        <v>31.455730200183901</v>
      </c>
    </row>
    <row r="137" spans="1:12" x14ac:dyDescent="0.3">
      <c r="A137" s="1" t="s">
        <v>48</v>
      </c>
      <c r="B137" s="11">
        <v>2022</v>
      </c>
      <c r="C137" s="1" t="s">
        <v>52</v>
      </c>
      <c r="D137" s="2">
        <v>55000</v>
      </c>
      <c r="E137" s="2">
        <v>4829</v>
      </c>
      <c r="F137" s="2">
        <f t="shared" si="10"/>
        <v>265595000</v>
      </c>
      <c r="G137" s="2">
        <v>183702186000</v>
      </c>
      <c r="H137" s="2">
        <v>57784864000</v>
      </c>
      <c r="I137" s="1">
        <f t="shared" si="11"/>
        <v>83544846.625178427</v>
      </c>
      <c r="J137" s="1">
        <f t="shared" si="12"/>
        <v>31.455730200183901</v>
      </c>
      <c r="K137" s="1">
        <f t="shared" si="13"/>
        <v>1811953692000</v>
      </c>
      <c r="L137" s="17">
        <f t="shared" si="14"/>
        <v>31.455730200183901</v>
      </c>
    </row>
    <row r="138" spans="1:12" x14ac:dyDescent="0.3">
      <c r="A138" s="1" t="s">
        <v>48</v>
      </c>
      <c r="B138" s="11">
        <v>2022</v>
      </c>
      <c r="C138" s="1" t="s">
        <v>53</v>
      </c>
      <c r="D138" s="2">
        <v>70000</v>
      </c>
      <c r="E138" s="2">
        <v>5167</v>
      </c>
      <c r="F138" s="2">
        <f t="shared" si="10"/>
        <v>361690000</v>
      </c>
      <c r="G138" s="2">
        <v>183702186000</v>
      </c>
      <c r="H138" s="2">
        <v>57784864000</v>
      </c>
      <c r="I138" s="1">
        <f t="shared" si="11"/>
        <v>113772230.56104514</v>
      </c>
      <c r="J138" s="1">
        <f t="shared" si="12"/>
        <v>31.455730200183897</v>
      </c>
      <c r="K138" s="1">
        <f t="shared" si="13"/>
        <v>1811953692000</v>
      </c>
      <c r="L138" s="17">
        <f t="shared" si="14"/>
        <v>31.455730200183901</v>
      </c>
    </row>
    <row r="139" spans="1:12" x14ac:dyDescent="0.3">
      <c r="A139" s="1" t="s">
        <v>48</v>
      </c>
      <c r="B139" s="11">
        <v>2022</v>
      </c>
      <c r="C139" s="1" t="s">
        <v>54</v>
      </c>
      <c r="D139" s="2">
        <v>35000</v>
      </c>
      <c r="E139" s="2">
        <v>5219</v>
      </c>
      <c r="F139" s="2">
        <f t="shared" si="10"/>
        <v>182665000</v>
      </c>
      <c r="G139" s="2">
        <v>183702186000</v>
      </c>
      <c r="H139" s="2">
        <v>57784864000</v>
      </c>
      <c r="I139" s="1">
        <f t="shared" si="11"/>
        <v>57458609.570165917</v>
      </c>
      <c r="J139" s="1">
        <f t="shared" si="12"/>
        <v>31.455730200183897</v>
      </c>
      <c r="K139" s="1">
        <f t="shared" si="13"/>
        <v>1811953692000</v>
      </c>
      <c r="L139" s="17">
        <f t="shared" si="14"/>
        <v>31.455730200183901</v>
      </c>
    </row>
    <row r="140" spans="1:12" x14ac:dyDescent="0.3">
      <c r="A140" s="1" t="s">
        <v>48</v>
      </c>
      <c r="B140" s="11">
        <v>2022</v>
      </c>
      <c r="C140" s="1" t="s">
        <v>55</v>
      </c>
      <c r="D140" s="2">
        <v>95000</v>
      </c>
      <c r="E140" s="2">
        <v>5368</v>
      </c>
      <c r="F140" s="2">
        <f t="shared" si="10"/>
        <v>509960000</v>
      </c>
      <c r="G140" s="2">
        <v>183702186000</v>
      </c>
      <c r="H140" s="2">
        <v>57784864000</v>
      </c>
      <c r="I140" s="1">
        <f t="shared" si="11"/>
        <v>160411641.72885782</v>
      </c>
      <c r="J140" s="1">
        <f t="shared" si="12"/>
        <v>31.455730200183901</v>
      </c>
      <c r="K140" s="1">
        <f t="shared" si="13"/>
        <v>1811953692000</v>
      </c>
      <c r="L140" s="17">
        <f t="shared" si="14"/>
        <v>31.455730200183901</v>
      </c>
    </row>
    <row r="141" spans="1:12" x14ac:dyDescent="0.3">
      <c r="A141" s="1" t="s">
        <v>48</v>
      </c>
      <c r="B141" s="11">
        <v>2022</v>
      </c>
      <c r="C141" s="1" t="s">
        <v>56</v>
      </c>
      <c r="D141" s="2">
        <v>60000</v>
      </c>
      <c r="E141" s="2">
        <v>5368</v>
      </c>
      <c r="F141" s="2">
        <f t="shared" si="10"/>
        <v>322080000</v>
      </c>
      <c r="G141" s="2">
        <v>183702186000</v>
      </c>
      <c r="H141" s="2">
        <v>57784864000</v>
      </c>
      <c r="I141" s="1">
        <f t="shared" si="11"/>
        <v>101312615.82875231</v>
      </c>
      <c r="J141" s="1">
        <f t="shared" si="12"/>
        <v>31.455730200183901</v>
      </c>
      <c r="K141" s="1">
        <f t="shared" si="13"/>
        <v>1811953692000</v>
      </c>
      <c r="L141" s="17">
        <f t="shared" si="14"/>
        <v>31.455730200183901</v>
      </c>
    </row>
    <row r="142" spans="1:12" x14ac:dyDescent="0.3">
      <c r="A142" s="1" t="s">
        <v>48</v>
      </c>
      <c r="B142" s="11">
        <v>2022</v>
      </c>
      <c r="C142" s="1" t="s">
        <v>57</v>
      </c>
      <c r="D142" s="2">
        <v>110000</v>
      </c>
      <c r="E142" s="2">
        <v>5368</v>
      </c>
      <c r="F142" s="2">
        <f t="shared" si="10"/>
        <v>590480000</v>
      </c>
      <c r="G142" s="2">
        <v>183702186000</v>
      </c>
      <c r="H142" s="2">
        <v>57784864000</v>
      </c>
      <c r="I142" s="1">
        <f t="shared" si="11"/>
        <v>185739795.68604589</v>
      </c>
      <c r="J142" s="1">
        <f t="shared" si="12"/>
        <v>31.455730200183901</v>
      </c>
      <c r="K142" s="1">
        <f t="shared" si="13"/>
        <v>1811953692000</v>
      </c>
      <c r="L142" s="17">
        <f t="shared" si="14"/>
        <v>31.455730200183901</v>
      </c>
    </row>
    <row r="143" spans="1:12" x14ac:dyDescent="0.3">
      <c r="A143" s="1" t="s">
        <v>48</v>
      </c>
      <c r="B143" s="11">
        <v>2022</v>
      </c>
      <c r="C143" s="1" t="s">
        <v>58</v>
      </c>
      <c r="D143" s="2">
        <v>82000</v>
      </c>
      <c r="E143" s="2">
        <v>5386</v>
      </c>
      <c r="F143" s="2">
        <f t="shared" si="10"/>
        <v>441652000</v>
      </c>
      <c r="G143" s="2">
        <v>183702186000</v>
      </c>
      <c r="H143" s="2">
        <v>57784864000</v>
      </c>
      <c r="I143" s="1">
        <f t="shared" si="11"/>
        <v>138924861.54371619</v>
      </c>
      <c r="J143" s="1">
        <f t="shared" si="12"/>
        <v>31.455730200183901</v>
      </c>
      <c r="K143" s="1">
        <f t="shared" si="13"/>
        <v>1811953692000</v>
      </c>
      <c r="L143" s="17">
        <f t="shared" si="14"/>
        <v>31.455730200183901</v>
      </c>
    </row>
    <row r="144" spans="1:12" x14ac:dyDescent="0.3">
      <c r="A144" s="1" t="s">
        <v>48</v>
      </c>
      <c r="B144" s="11">
        <v>2022</v>
      </c>
      <c r="C144" s="1" t="s">
        <v>59</v>
      </c>
      <c r="D144" s="2">
        <v>68000</v>
      </c>
      <c r="E144" s="2">
        <v>5694</v>
      </c>
      <c r="F144" s="2">
        <f t="shared" si="10"/>
        <v>387192000</v>
      </c>
      <c r="G144" s="2">
        <v>183702186000</v>
      </c>
      <c r="H144" s="2">
        <v>57784864000</v>
      </c>
      <c r="I144" s="1">
        <f t="shared" si="11"/>
        <v>121794070.87669604</v>
      </c>
      <c r="J144" s="1">
        <f t="shared" si="12"/>
        <v>31.455730200183897</v>
      </c>
      <c r="K144" s="1">
        <f t="shared" si="13"/>
        <v>1811953692000</v>
      </c>
      <c r="L144" s="17">
        <f t="shared" si="14"/>
        <v>31.455730200183901</v>
      </c>
    </row>
    <row r="145" spans="1:12" x14ac:dyDescent="0.3">
      <c r="A145" s="1" t="s">
        <v>48</v>
      </c>
      <c r="B145" s="11">
        <v>2022</v>
      </c>
      <c r="C145" s="1" t="s">
        <v>60</v>
      </c>
      <c r="D145" s="2">
        <v>45000</v>
      </c>
      <c r="E145" s="2">
        <v>5722</v>
      </c>
      <c r="F145" s="2">
        <f t="shared" si="10"/>
        <v>257490000</v>
      </c>
      <c r="G145" s="2">
        <v>183702186000</v>
      </c>
      <c r="H145" s="2">
        <v>57784864000</v>
      </c>
      <c r="I145" s="1">
        <f t="shared" si="11"/>
        <v>80995359.692453519</v>
      </c>
      <c r="J145" s="1">
        <f t="shared" si="12"/>
        <v>31.455730200183897</v>
      </c>
      <c r="K145" s="1">
        <f t="shared" si="13"/>
        <v>1811953692000</v>
      </c>
      <c r="L145" s="17">
        <f t="shared" si="14"/>
        <v>31.455730200183901</v>
      </c>
    </row>
    <row r="146" spans="1:12" x14ac:dyDescent="0.3">
      <c r="A146" s="1" t="s">
        <v>48</v>
      </c>
      <c r="B146" s="11">
        <v>2023</v>
      </c>
      <c r="C146" s="1" t="s">
        <v>49</v>
      </c>
      <c r="D146" s="2">
        <v>86000</v>
      </c>
      <c r="E146" s="2">
        <v>5774</v>
      </c>
      <c r="F146" s="2">
        <f t="shared" si="10"/>
        <v>496564000</v>
      </c>
      <c r="G146" s="2">
        <v>184932603000</v>
      </c>
      <c r="H146" s="2">
        <v>44345327000</v>
      </c>
      <c r="I146" s="1">
        <f t="shared" si="11"/>
        <v>119071989.46649769</v>
      </c>
      <c r="J146" s="1">
        <f t="shared" si="12"/>
        <v>23.979182837760629</v>
      </c>
      <c r="K146" s="1">
        <f t="shared" si="13"/>
        <v>1811953692000</v>
      </c>
      <c r="L146" s="17">
        <f t="shared" si="14"/>
        <v>23.979182837760629</v>
      </c>
    </row>
    <row r="147" spans="1:12" x14ac:dyDescent="0.3">
      <c r="A147" s="1" t="s">
        <v>48</v>
      </c>
      <c r="B147" s="11">
        <v>2023</v>
      </c>
      <c r="C147" s="1" t="s">
        <v>50</v>
      </c>
      <c r="D147" s="2">
        <v>79000</v>
      </c>
      <c r="E147" s="2">
        <v>5795</v>
      </c>
      <c r="F147" s="2">
        <f t="shared" si="10"/>
        <v>457805000</v>
      </c>
      <c r="G147" s="2">
        <v>184932603000</v>
      </c>
      <c r="H147" s="2">
        <v>44345327000</v>
      </c>
      <c r="I147" s="1">
        <f t="shared" si="11"/>
        <v>109777897.99041004</v>
      </c>
      <c r="J147" s="1">
        <f t="shared" si="12"/>
        <v>23.979182837760629</v>
      </c>
      <c r="K147" s="1">
        <f t="shared" si="13"/>
        <v>1811953692000</v>
      </c>
      <c r="L147" s="17">
        <f t="shared" si="14"/>
        <v>23.979182837760629</v>
      </c>
    </row>
    <row r="148" spans="1:12" x14ac:dyDescent="0.3">
      <c r="A148" s="1" t="s">
        <v>48</v>
      </c>
      <c r="B148" s="11">
        <v>2023</v>
      </c>
      <c r="C148" s="1" t="s">
        <v>51</v>
      </c>
      <c r="D148" s="2">
        <v>66000</v>
      </c>
      <c r="E148" s="2">
        <v>5872</v>
      </c>
      <c r="F148" s="2">
        <f t="shared" si="10"/>
        <v>387552000</v>
      </c>
      <c r="G148" s="2">
        <v>184932603000</v>
      </c>
      <c r="H148" s="2">
        <v>44345327000</v>
      </c>
      <c r="I148" s="1">
        <f t="shared" si="11"/>
        <v>92931802.671398088</v>
      </c>
      <c r="J148" s="1">
        <f t="shared" si="12"/>
        <v>23.979182837760632</v>
      </c>
      <c r="K148" s="1">
        <f t="shared" si="13"/>
        <v>1811953692000</v>
      </c>
      <c r="L148" s="17">
        <f t="shared" si="14"/>
        <v>23.979182837760629</v>
      </c>
    </row>
    <row r="149" spans="1:12" x14ac:dyDescent="0.3">
      <c r="A149" s="1" t="s">
        <v>48</v>
      </c>
      <c r="B149" s="11">
        <v>2023</v>
      </c>
      <c r="C149" s="1" t="s">
        <v>52</v>
      </c>
      <c r="D149" s="2">
        <v>56000</v>
      </c>
      <c r="E149" s="2">
        <v>5872</v>
      </c>
      <c r="F149" s="2">
        <f t="shared" si="10"/>
        <v>328832000</v>
      </c>
      <c r="G149" s="2">
        <v>184932603000</v>
      </c>
      <c r="H149" s="2">
        <v>44345327000</v>
      </c>
      <c r="I149" s="1">
        <f t="shared" si="11"/>
        <v>78851226.509065032</v>
      </c>
      <c r="J149" s="1">
        <f t="shared" si="12"/>
        <v>23.979182837760629</v>
      </c>
      <c r="K149" s="1">
        <f t="shared" si="13"/>
        <v>1811953692000</v>
      </c>
      <c r="L149" s="17">
        <f t="shared" si="14"/>
        <v>23.979182837760629</v>
      </c>
    </row>
    <row r="150" spans="1:12" x14ac:dyDescent="0.3">
      <c r="A150" s="1" t="s">
        <v>48</v>
      </c>
      <c r="B150" s="11">
        <v>2023</v>
      </c>
      <c r="C150" s="1" t="s">
        <v>53</v>
      </c>
      <c r="D150" s="2">
        <v>71000</v>
      </c>
      <c r="E150" s="2">
        <v>5872</v>
      </c>
      <c r="F150" s="2">
        <f t="shared" si="10"/>
        <v>416912000</v>
      </c>
      <c r="G150" s="2">
        <v>184932603000</v>
      </c>
      <c r="H150" s="2">
        <v>44345327000</v>
      </c>
      <c r="I150" s="1">
        <f t="shared" si="11"/>
        <v>99972090.752564609</v>
      </c>
      <c r="J150" s="1">
        <f t="shared" si="12"/>
        <v>23.979182837760632</v>
      </c>
      <c r="K150" s="1">
        <f t="shared" si="13"/>
        <v>1811953692000</v>
      </c>
      <c r="L150" s="17">
        <f t="shared" si="14"/>
        <v>23.979182837760629</v>
      </c>
    </row>
    <row r="151" spans="1:12" x14ac:dyDescent="0.3">
      <c r="A151" s="1" t="s">
        <v>48</v>
      </c>
      <c r="B151" s="11">
        <v>2023</v>
      </c>
      <c r="C151" s="1" t="s">
        <v>54</v>
      </c>
      <c r="D151" s="2">
        <v>36000</v>
      </c>
      <c r="E151" s="2">
        <v>5872</v>
      </c>
      <c r="F151" s="2">
        <f t="shared" si="10"/>
        <v>211392000</v>
      </c>
      <c r="G151" s="2">
        <v>184932603000</v>
      </c>
      <c r="H151" s="2">
        <v>44345327000</v>
      </c>
      <c r="I151" s="1">
        <f t="shared" si="11"/>
        <v>50690074.184398949</v>
      </c>
      <c r="J151" s="1">
        <f t="shared" si="12"/>
        <v>23.979182837760629</v>
      </c>
      <c r="K151" s="1">
        <f t="shared" si="13"/>
        <v>1811953692000</v>
      </c>
      <c r="L151" s="17">
        <f t="shared" si="14"/>
        <v>23.979182837760629</v>
      </c>
    </row>
    <row r="152" spans="1:12" x14ac:dyDescent="0.3">
      <c r="A152" s="1" t="s">
        <v>48</v>
      </c>
      <c r="B152" s="11">
        <v>2023</v>
      </c>
      <c r="C152" s="1" t="s">
        <v>55</v>
      </c>
      <c r="D152" s="2">
        <v>96000</v>
      </c>
      <c r="E152" s="2">
        <v>6061</v>
      </c>
      <c r="F152" s="2">
        <f t="shared" si="10"/>
        <v>581856000</v>
      </c>
      <c r="G152" s="2">
        <v>184932603000</v>
      </c>
      <c r="H152" s="2">
        <v>44345327000</v>
      </c>
      <c r="I152" s="1">
        <f t="shared" si="11"/>
        <v>139524314.09248051</v>
      </c>
      <c r="J152" s="1">
        <f t="shared" si="12"/>
        <v>23.979182837760632</v>
      </c>
      <c r="K152" s="1">
        <f t="shared" si="13"/>
        <v>1811953692000</v>
      </c>
      <c r="L152" s="17">
        <f t="shared" si="14"/>
        <v>23.979182837760629</v>
      </c>
    </row>
    <row r="153" spans="1:12" x14ac:dyDescent="0.3">
      <c r="A153" s="1" t="s">
        <v>48</v>
      </c>
      <c r="B153" s="11">
        <v>2023</v>
      </c>
      <c r="C153" s="1" t="s">
        <v>56</v>
      </c>
      <c r="D153" s="2">
        <v>61000</v>
      </c>
      <c r="E153" s="2">
        <v>6061</v>
      </c>
      <c r="F153" s="2">
        <f t="shared" si="10"/>
        <v>369721000</v>
      </c>
      <c r="G153" s="2">
        <v>184932603000</v>
      </c>
      <c r="H153" s="2">
        <v>44345327000</v>
      </c>
      <c r="I153" s="1">
        <f t="shared" si="11"/>
        <v>88656074.579596981</v>
      </c>
      <c r="J153" s="1">
        <f t="shared" si="12"/>
        <v>23.979182837760632</v>
      </c>
      <c r="K153" s="1">
        <f t="shared" si="13"/>
        <v>1811953692000</v>
      </c>
      <c r="L153" s="17">
        <f t="shared" si="14"/>
        <v>23.979182837760629</v>
      </c>
    </row>
    <row r="154" spans="1:12" x14ac:dyDescent="0.3">
      <c r="A154" s="1" t="s">
        <v>48</v>
      </c>
      <c r="B154" s="11">
        <v>2023</v>
      </c>
      <c r="C154" s="1" t="s">
        <v>57</v>
      </c>
      <c r="D154" s="2">
        <v>112000</v>
      </c>
      <c r="E154" s="2">
        <v>6312</v>
      </c>
      <c r="F154" s="2">
        <f t="shared" si="10"/>
        <v>706944000</v>
      </c>
      <c r="G154" s="2">
        <v>184932603000</v>
      </c>
      <c r="H154" s="2">
        <v>44345327000</v>
      </c>
      <c r="I154" s="1">
        <f t="shared" si="11"/>
        <v>169519394.32057852</v>
      </c>
      <c r="J154" s="1">
        <f t="shared" si="12"/>
        <v>23.979182837760632</v>
      </c>
      <c r="K154" s="1">
        <f t="shared" si="13"/>
        <v>1811953692000</v>
      </c>
      <c r="L154" s="17">
        <f t="shared" si="14"/>
        <v>23.979182837760629</v>
      </c>
    </row>
    <row r="155" spans="1:12" x14ac:dyDescent="0.3">
      <c r="A155" s="1" t="s">
        <v>48</v>
      </c>
      <c r="B155" s="11">
        <v>2023</v>
      </c>
      <c r="C155" s="1" t="s">
        <v>58</v>
      </c>
      <c r="D155" s="2">
        <v>83000</v>
      </c>
      <c r="E155" s="2">
        <v>6429</v>
      </c>
      <c r="F155" s="2">
        <f t="shared" si="10"/>
        <v>533607000</v>
      </c>
      <c r="G155" s="2">
        <v>184932603000</v>
      </c>
      <c r="H155" s="2">
        <v>44345327000</v>
      </c>
      <c r="I155" s="1">
        <f t="shared" si="11"/>
        <v>127954598.16508935</v>
      </c>
      <c r="J155" s="1">
        <f t="shared" si="12"/>
        <v>23.979182837760629</v>
      </c>
      <c r="K155" s="1">
        <f t="shared" si="13"/>
        <v>1811953692000</v>
      </c>
      <c r="L155" s="17">
        <f t="shared" si="14"/>
        <v>23.979182837760629</v>
      </c>
    </row>
    <row r="156" spans="1:12" x14ac:dyDescent="0.3">
      <c r="A156" s="1" t="s">
        <v>48</v>
      </c>
      <c r="B156" s="11">
        <v>2023</v>
      </c>
      <c r="C156" s="1" t="s">
        <v>59</v>
      </c>
      <c r="D156" s="2">
        <v>69000</v>
      </c>
      <c r="E156" s="2">
        <v>6479</v>
      </c>
      <c r="F156" s="2">
        <f t="shared" si="10"/>
        <v>447051000</v>
      </c>
      <c r="G156" s="2">
        <v>184932603000</v>
      </c>
      <c r="H156" s="2">
        <v>44345327000</v>
      </c>
      <c r="I156" s="1">
        <f t="shared" si="11"/>
        <v>107199176.66803728</v>
      </c>
      <c r="J156" s="1">
        <f t="shared" si="12"/>
        <v>23.979182837760632</v>
      </c>
      <c r="K156" s="1">
        <f t="shared" si="13"/>
        <v>1811953692000</v>
      </c>
      <c r="L156" s="17">
        <f t="shared" si="14"/>
        <v>23.979182837760629</v>
      </c>
    </row>
    <row r="157" spans="1:12" x14ac:dyDescent="0.3">
      <c r="A157" s="1" t="s">
        <v>48</v>
      </c>
      <c r="B157" s="11">
        <v>2023</v>
      </c>
      <c r="C157" s="1" t="s">
        <v>60</v>
      </c>
      <c r="D157" s="2">
        <v>46000</v>
      </c>
      <c r="E157" s="2">
        <v>6479</v>
      </c>
      <c r="F157" s="2">
        <f t="shared" si="10"/>
        <v>298034000</v>
      </c>
      <c r="G157" s="2">
        <v>184932603000</v>
      </c>
      <c r="H157" s="2">
        <v>44345327000</v>
      </c>
      <c r="I157" s="1">
        <f t="shared" si="11"/>
        <v>71466117.778691515</v>
      </c>
      <c r="J157" s="1">
        <f t="shared" si="12"/>
        <v>23.979182837760629</v>
      </c>
      <c r="K157" s="1">
        <f t="shared" si="13"/>
        <v>1811953692000</v>
      </c>
      <c r="L157" s="17">
        <f t="shared" si="14"/>
        <v>23.979182837760629</v>
      </c>
    </row>
    <row r="158" spans="1:12" x14ac:dyDescent="0.3">
      <c r="A158" s="1" t="s">
        <v>48</v>
      </c>
      <c r="B158" s="11">
        <v>2024</v>
      </c>
      <c r="C158" s="1" t="s">
        <v>49</v>
      </c>
      <c r="D158" s="2">
        <v>87000</v>
      </c>
      <c r="E158" s="2">
        <v>6479</v>
      </c>
      <c r="F158" s="2">
        <f t="shared" si="10"/>
        <v>563673000</v>
      </c>
      <c r="G158" s="2">
        <v>207084881000</v>
      </c>
      <c r="H158" s="2">
        <v>48865950000</v>
      </c>
      <c r="I158" s="1">
        <f t="shared" si="11"/>
        <v>133010273.37843171</v>
      </c>
      <c r="J158" s="1">
        <f t="shared" si="12"/>
        <v>23.597063080621513</v>
      </c>
      <c r="K158" s="1">
        <f t="shared" si="13"/>
        <v>1811953692000</v>
      </c>
      <c r="L158" s="17">
        <f t="shared" si="14"/>
        <v>23.597063080621517</v>
      </c>
    </row>
    <row r="159" spans="1:12" x14ac:dyDescent="0.3">
      <c r="A159" s="1" t="s">
        <v>48</v>
      </c>
      <c r="B159" s="11">
        <v>2024</v>
      </c>
      <c r="C159" s="1" t="s">
        <v>50</v>
      </c>
      <c r="D159" s="2">
        <v>81000</v>
      </c>
      <c r="E159" s="2">
        <v>6620</v>
      </c>
      <c r="F159" s="2">
        <f t="shared" si="10"/>
        <v>536220000</v>
      </c>
      <c r="G159" s="2">
        <v>207084881000</v>
      </c>
      <c r="H159" s="2">
        <v>48865950000</v>
      </c>
      <c r="I159" s="1">
        <f t="shared" si="11"/>
        <v>126532171.65090869</v>
      </c>
      <c r="J159" s="1">
        <f t="shared" si="12"/>
        <v>23.597063080621517</v>
      </c>
      <c r="K159" s="1">
        <f t="shared" si="13"/>
        <v>1811953692000</v>
      </c>
      <c r="L159" s="17">
        <f t="shared" si="14"/>
        <v>23.597063080621517</v>
      </c>
    </row>
    <row r="160" spans="1:12" x14ac:dyDescent="0.3">
      <c r="A160" s="1" t="s">
        <v>48</v>
      </c>
      <c r="B160" s="11">
        <v>2024</v>
      </c>
      <c r="C160" s="1" t="s">
        <v>51</v>
      </c>
      <c r="D160" s="2">
        <v>67500</v>
      </c>
      <c r="E160" s="2">
        <v>6627</v>
      </c>
      <c r="F160" s="2">
        <f t="shared" si="10"/>
        <v>447322500</v>
      </c>
      <c r="G160" s="2">
        <v>207084881000</v>
      </c>
      <c r="H160" s="2">
        <v>48865950000</v>
      </c>
      <c r="I160" s="1">
        <f t="shared" si="11"/>
        <v>105554972.49881318</v>
      </c>
      <c r="J160" s="1">
        <f t="shared" si="12"/>
        <v>23.597063080621517</v>
      </c>
      <c r="K160" s="1">
        <f t="shared" si="13"/>
        <v>1811953692000</v>
      </c>
      <c r="L160" s="17">
        <f t="shared" si="14"/>
        <v>23.597063080621517</v>
      </c>
    </row>
    <row r="161" spans="1:12" x14ac:dyDescent="0.3">
      <c r="A161" s="1" t="s">
        <v>48</v>
      </c>
      <c r="B161" s="11">
        <v>2024</v>
      </c>
      <c r="C161" s="1" t="s">
        <v>52</v>
      </c>
      <c r="D161" s="2">
        <v>58000</v>
      </c>
      <c r="E161" s="2">
        <v>6627</v>
      </c>
      <c r="F161" s="2">
        <f t="shared" si="10"/>
        <v>384366000</v>
      </c>
      <c r="G161" s="2">
        <v>207084881000</v>
      </c>
      <c r="H161" s="2">
        <v>48865950000</v>
      </c>
      <c r="I161" s="1">
        <f t="shared" si="11"/>
        <v>90699087.480461702</v>
      </c>
      <c r="J161" s="1">
        <f t="shared" si="12"/>
        <v>23.597063080621517</v>
      </c>
      <c r="K161" s="1">
        <f t="shared" si="13"/>
        <v>1811953692000</v>
      </c>
      <c r="L161" s="17">
        <f t="shared" si="14"/>
        <v>23.597063080621517</v>
      </c>
    </row>
    <row r="162" spans="1:12" x14ac:dyDescent="0.3">
      <c r="A162" s="1" t="s">
        <v>48</v>
      </c>
      <c r="B162" s="11">
        <v>2024</v>
      </c>
      <c r="C162" s="1" t="s">
        <v>53</v>
      </c>
      <c r="D162" s="2">
        <v>72500</v>
      </c>
      <c r="E162" s="2">
        <v>6627</v>
      </c>
      <c r="F162" s="2">
        <f t="shared" si="10"/>
        <v>480457500</v>
      </c>
      <c r="G162" s="2">
        <v>207084881000</v>
      </c>
      <c r="H162" s="2">
        <v>48865950000</v>
      </c>
      <c r="I162" s="1">
        <f t="shared" si="11"/>
        <v>113373859.35057712</v>
      </c>
      <c r="J162" s="1">
        <f t="shared" si="12"/>
        <v>23.597063080621517</v>
      </c>
      <c r="K162" s="1">
        <f t="shared" si="13"/>
        <v>1811953692000</v>
      </c>
      <c r="L162" s="17">
        <f t="shared" si="14"/>
        <v>23.597063080621517</v>
      </c>
    </row>
    <row r="163" spans="1:12" x14ac:dyDescent="0.3">
      <c r="A163" s="1" t="s">
        <v>48</v>
      </c>
      <c r="B163" s="11">
        <v>2024</v>
      </c>
      <c r="C163" s="1" t="s">
        <v>54</v>
      </c>
      <c r="D163" s="2">
        <v>38000</v>
      </c>
      <c r="E163" s="2">
        <v>6627</v>
      </c>
      <c r="F163" s="2">
        <f t="shared" si="10"/>
        <v>251826000</v>
      </c>
      <c r="G163" s="2">
        <v>207084881000</v>
      </c>
      <c r="H163" s="2">
        <v>48865950000</v>
      </c>
      <c r="I163" s="1">
        <f t="shared" si="11"/>
        <v>59423540.073405936</v>
      </c>
      <c r="J163" s="1">
        <f t="shared" si="12"/>
        <v>23.597063080621513</v>
      </c>
      <c r="K163" s="1">
        <f t="shared" si="13"/>
        <v>1811953692000</v>
      </c>
      <c r="L163" s="17">
        <f t="shared" si="14"/>
        <v>23.597063080621517</v>
      </c>
    </row>
    <row r="164" spans="1:12" x14ac:dyDescent="0.3">
      <c r="A164" s="1" t="s">
        <v>48</v>
      </c>
      <c r="B164" s="11">
        <v>2024</v>
      </c>
      <c r="C164" s="1" t="s">
        <v>55</v>
      </c>
      <c r="D164" s="2">
        <v>98000</v>
      </c>
      <c r="E164" s="2">
        <v>6754</v>
      </c>
      <c r="F164" s="2">
        <f t="shared" si="10"/>
        <v>661892000</v>
      </c>
      <c r="G164" s="2">
        <v>207084881000</v>
      </c>
      <c r="H164" s="2">
        <v>48865950000</v>
      </c>
      <c r="I164" s="1">
        <f t="shared" si="11"/>
        <v>156187072.76558736</v>
      </c>
      <c r="J164" s="1">
        <f t="shared" si="12"/>
        <v>23.597063080621517</v>
      </c>
      <c r="K164" s="1">
        <f t="shared" si="13"/>
        <v>1811953692000</v>
      </c>
      <c r="L164" s="17">
        <f t="shared" si="14"/>
        <v>23.597063080621517</v>
      </c>
    </row>
    <row r="165" spans="1:12" x14ac:dyDescent="0.3">
      <c r="A165" s="1" t="s">
        <v>48</v>
      </c>
      <c r="B165" s="11">
        <v>2024</v>
      </c>
      <c r="C165" s="1" t="s">
        <v>56</v>
      </c>
      <c r="D165" s="2">
        <v>63000</v>
      </c>
      <c r="E165" s="2">
        <v>7164</v>
      </c>
      <c r="F165" s="2">
        <f t="shared" si="10"/>
        <v>451332000</v>
      </c>
      <c r="G165" s="2">
        <v>207084881000</v>
      </c>
      <c r="H165" s="2">
        <v>48865950000</v>
      </c>
      <c r="I165" s="1">
        <f t="shared" si="11"/>
        <v>106501096.7430307</v>
      </c>
      <c r="J165" s="1">
        <f t="shared" si="12"/>
        <v>23.597063080621517</v>
      </c>
      <c r="K165" s="1">
        <f t="shared" si="13"/>
        <v>1811953692000</v>
      </c>
      <c r="L165" s="17">
        <f t="shared" si="14"/>
        <v>23.597063080621517</v>
      </c>
    </row>
    <row r="166" spans="1:12" x14ac:dyDescent="0.3">
      <c r="A166" s="1" t="s">
        <v>48</v>
      </c>
      <c r="B166" s="11">
        <v>2024</v>
      </c>
      <c r="C166" s="1" t="s">
        <v>57</v>
      </c>
      <c r="D166" s="2">
        <v>115000</v>
      </c>
      <c r="E166" s="2">
        <v>7227</v>
      </c>
      <c r="F166" s="2">
        <f t="shared" si="10"/>
        <v>831105000</v>
      </c>
      <c r="G166" s="2">
        <v>207084881000</v>
      </c>
      <c r="H166" s="2">
        <v>48865950000</v>
      </c>
      <c r="I166" s="1">
        <f t="shared" si="11"/>
        <v>196116371.11619943</v>
      </c>
      <c r="J166" s="1">
        <f t="shared" si="12"/>
        <v>23.597063080621513</v>
      </c>
      <c r="K166" s="1">
        <f t="shared" si="13"/>
        <v>1811953692000</v>
      </c>
      <c r="L166" s="17">
        <f t="shared" si="14"/>
        <v>23.597063080621517</v>
      </c>
    </row>
    <row r="167" spans="1:12" x14ac:dyDescent="0.3">
      <c r="A167" s="1" t="s">
        <v>48</v>
      </c>
      <c r="B167" s="11">
        <v>2024</v>
      </c>
      <c r="C167" s="1" t="s">
        <v>58</v>
      </c>
      <c r="D167" s="2">
        <v>85000</v>
      </c>
      <c r="E167" s="2">
        <v>7833</v>
      </c>
      <c r="F167" s="2">
        <f t="shared" si="10"/>
        <v>665805000</v>
      </c>
      <c r="G167" s="2">
        <v>207084881000</v>
      </c>
      <c r="H167" s="2">
        <v>48865950000</v>
      </c>
      <c r="I167" s="1">
        <f t="shared" si="11"/>
        <v>157110425.84393209</v>
      </c>
      <c r="J167" s="1">
        <f t="shared" si="12"/>
        <v>23.597063080621517</v>
      </c>
      <c r="K167" s="1">
        <f t="shared" si="13"/>
        <v>1811953692000</v>
      </c>
      <c r="L167" s="17">
        <f t="shared" si="14"/>
        <v>23.597063080621517</v>
      </c>
    </row>
    <row r="168" spans="1:12" x14ac:dyDescent="0.3">
      <c r="A168" s="1" t="s">
        <v>48</v>
      </c>
      <c r="B168" s="11">
        <v>2024</v>
      </c>
      <c r="C168" s="1" t="s">
        <v>59</v>
      </c>
      <c r="D168" s="2">
        <v>71000</v>
      </c>
      <c r="E168" s="2">
        <v>8056</v>
      </c>
      <c r="F168" s="2">
        <f t="shared" si="10"/>
        <v>571976000</v>
      </c>
      <c r="G168" s="2">
        <v>207084881000</v>
      </c>
      <c r="H168" s="2">
        <v>48865950000</v>
      </c>
      <c r="I168" s="1">
        <f t="shared" si="11"/>
        <v>134969537.52601573</v>
      </c>
      <c r="J168" s="1">
        <f t="shared" si="12"/>
        <v>23.597063080621517</v>
      </c>
      <c r="K168" s="1">
        <f t="shared" si="13"/>
        <v>1811953692000</v>
      </c>
      <c r="L168" s="17">
        <f t="shared" si="14"/>
        <v>23.597063080621517</v>
      </c>
    </row>
    <row r="169" spans="1:12" x14ac:dyDescent="0.3">
      <c r="A169" s="1" t="s">
        <v>48</v>
      </c>
      <c r="B169" s="11">
        <v>2024</v>
      </c>
      <c r="C169" s="1" t="s">
        <v>60</v>
      </c>
      <c r="D169" s="2">
        <v>48000</v>
      </c>
      <c r="E169" s="2">
        <v>8056</v>
      </c>
      <c r="F169" s="2">
        <f t="shared" si="10"/>
        <v>386688000</v>
      </c>
      <c r="G169" s="2">
        <v>207084881000</v>
      </c>
      <c r="H169" s="2">
        <v>48865950000</v>
      </c>
      <c r="I169" s="1">
        <f t="shared" si="11"/>
        <v>91247011.285193726</v>
      </c>
      <c r="J169" s="1">
        <f t="shared" si="12"/>
        <v>23.597063080621517</v>
      </c>
      <c r="K169" s="1">
        <f t="shared" si="13"/>
        <v>1811953692000</v>
      </c>
      <c r="L169" s="17">
        <f t="shared" si="14"/>
        <v>23.597063080621517</v>
      </c>
    </row>
    <row r="170" spans="1:12" x14ac:dyDescent="0.3">
      <c r="A170" s="1" t="s">
        <v>61</v>
      </c>
      <c r="B170" s="11">
        <v>2022</v>
      </c>
      <c r="C170" s="1" t="s">
        <v>62</v>
      </c>
      <c r="D170" s="2">
        <v>29000</v>
      </c>
      <c r="E170" s="2">
        <v>8056</v>
      </c>
      <c r="F170" s="2">
        <f t="shared" si="10"/>
        <v>233624000</v>
      </c>
      <c r="G170" s="2">
        <v>4229891000</v>
      </c>
      <c r="H170" s="2">
        <v>226651000</v>
      </c>
      <c r="I170" s="1">
        <f t="shared" si="11"/>
        <v>12518316.245974187</v>
      </c>
      <c r="J170" s="1">
        <f t="shared" si="12"/>
        <v>5.3583177438851264</v>
      </c>
      <c r="K170" s="1">
        <f t="shared" si="13"/>
        <v>21340995000</v>
      </c>
      <c r="L170" s="17">
        <f t="shared" si="14"/>
        <v>5.3583177438851264</v>
      </c>
    </row>
    <row r="171" spans="1:12" x14ac:dyDescent="0.3">
      <c r="A171" s="1" t="s">
        <v>61</v>
      </c>
      <c r="B171" s="11">
        <v>2022</v>
      </c>
      <c r="C171" s="1" t="s">
        <v>63</v>
      </c>
      <c r="D171" s="2">
        <v>31000</v>
      </c>
      <c r="E171" s="2">
        <v>8545</v>
      </c>
      <c r="F171" s="2">
        <f t="shared" si="10"/>
        <v>264895000</v>
      </c>
      <c r="G171" s="2">
        <v>4229891000</v>
      </c>
      <c r="H171" s="2">
        <v>226651000</v>
      </c>
      <c r="I171" s="1">
        <f t="shared" si="11"/>
        <v>14193915.787664505</v>
      </c>
      <c r="J171" s="1">
        <f t="shared" si="12"/>
        <v>5.3583177438851264</v>
      </c>
      <c r="K171" s="1">
        <f t="shared" si="13"/>
        <v>21340995000</v>
      </c>
      <c r="L171" s="17">
        <f t="shared" si="14"/>
        <v>5.3583177438851264</v>
      </c>
    </row>
    <row r="172" spans="1:12" x14ac:dyDescent="0.3">
      <c r="A172" s="1" t="s">
        <v>61</v>
      </c>
      <c r="B172" s="11">
        <v>2022</v>
      </c>
      <c r="C172" s="1" t="s">
        <v>64</v>
      </c>
      <c r="D172" s="2">
        <v>31000</v>
      </c>
      <c r="E172" s="2">
        <v>8545</v>
      </c>
      <c r="F172" s="2">
        <f t="shared" si="10"/>
        <v>264895000</v>
      </c>
      <c r="G172" s="2">
        <v>4229891000</v>
      </c>
      <c r="H172" s="2">
        <v>226651000</v>
      </c>
      <c r="I172" s="1">
        <f t="shared" si="11"/>
        <v>14193915.787664505</v>
      </c>
      <c r="J172" s="1">
        <f t="shared" si="12"/>
        <v>5.3583177438851264</v>
      </c>
      <c r="K172" s="1">
        <f t="shared" si="13"/>
        <v>21340995000</v>
      </c>
      <c r="L172" s="17">
        <f t="shared" si="14"/>
        <v>5.3583177438851264</v>
      </c>
    </row>
    <row r="173" spans="1:12" x14ac:dyDescent="0.3">
      <c r="A173" s="1" t="s">
        <v>61</v>
      </c>
      <c r="B173" s="11">
        <v>2022</v>
      </c>
      <c r="C173" s="1" t="s">
        <v>65</v>
      </c>
      <c r="D173" s="2">
        <v>32000</v>
      </c>
      <c r="E173" s="2">
        <v>8657</v>
      </c>
      <c r="F173" s="2">
        <f t="shared" si="10"/>
        <v>277024000</v>
      </c>
      <c r="G173" s="2">
        <v>4229891000</v>
      </c>
      <c r="H173" s="2">
        <v>226651000</v>
      </c>
      <c r="I173" s="1">
        <f t="shared" si="11"/>
        <v>14843826.146820331</v>
      </c>
      <c r="J173" s="1">
        <f t="shared" si="12"/>
        <v>5.3583177438851255</v>
      </c>
      <c r="K173" s="1">
        <f t="shared" si="13"/>
        <v>21340995000</v>
      </c>
      <c r="L173" s="17">
        <f t="shared" si="14"/>
        <v>5.3583177438851264</v>
      </c>
    </row>
    <row r="174" spans="1:12" x14ac:dyDescent="0.3">
      <c r="A174" s="1" t="s">
        <v>61</v>
      </c>
      <c r="B174" s="11">
        <v>2022</v>
      </c>
      <c r="C174" s="1" t="s">
        <v>66</v>
      </c>
      <c r="D174" s="2">
        <v>32000</v>
      </c>
      <c r="E174" s="2">
        <v>8812</v>
      </c>
      <c r="F174" s="2">
        <f t="shared" si="10"/>
        <v>281984000</v>
      </c>
      <c r="G174" s="2">
        <v>4229891000</v>
      </c>
      <c r="H174" s="2">
        <v>226651000</v>
      </c>
      <c r="I174" s="1">
        <f t="shared" si="11"/>
        <v>15109598.706917033</v>
      </c>
      <c r="J174" s="1">
        <f t="shared" si="12"/>
        <v>5.3583177438851255</v>
      </c>
      <c r="K174" s="1">
        <f t="shared" si="13"/>
        <v>21340995000</v>
      </c>
      <c r="L174" s="17">
        <f t="shared" si="14"/>
        <v>5.3583177438851264</v>
      </c>
    </row>
    <row r="175" spans="1:12" x14ac:dyDescent="0.3">
      <c r="A175" s="1" t="s">
        <v>61</v>
      </c>
      <c r="B175" s="11">
        <v>2022</v>
      </c>
      <c r="C175" s="1" t="s">
        <v>67</v>
      </c>
      <c r="D175" s="2">
        <v>29000</v>
      </c>
      <c r="E175" s="2">
        <v>8812</v>
      </c>
      <c r="F175" s="2">
        <f t="shared" si="10"/>
        <v>255548000</v>
      </c>
      <c r="G175" s="2">
        <v>4229891000</v>
      </c>
      <c r="H175" s="2">
        <v>226651000</v>
      </c>
      <c r="I175" s="1">
        <f t="shared" si="11"/>
        <v>13693073.828143563</v>
      </c>
      <c r="J175" s="1">
        <f t="shared" si="12"/>
        <v>5.3583177438851264</v>
      </c>
      <c r="K175" s="1">
        <f t="shared" si="13"/>
        <v>21340995000</v>
      </c>
      <c r="L175" s="17">
        <f t="shared" si="14"/>
        <v>5.3583177438851264</v>
      </c>
    </row>
    <row r="176" spans="1:12" x14ac:dyDescent="0.3">
      <c r="A176" s="1" t="s">
        <v>61</v>
      </c>
      <c r="B176" s="11">
        <v>2022</v>
      </c>
      <c r="C176" s="1" t="s">
        <v>68</v>
      </c>
      <c r="D176" s="2">
        <v>29000</v>
      </c>
      <c r="E176" s="2">
        <v>8812</v>
      </c>
      <c r="F176" s="2">
        <f t="shared" si="10"/>
        <v>255548000</v>
      </c>
      <c r="G176" s="2">
        <v>4229891000</v>
      </c>
      <c r="H176" s="2">
        <v>226651000</v>
      </c>
      <c r="I176" s="1">
        <f t="shared" si="11"/>
        <v>13693073.828143563</v>
      </c>
      <c r="J176" s="1">
        <f t="shared" si="12"/>
        <v>5.3583177438851264</v>
      </c>
      <c r="K176" s="1">
        <f t="shared" si="13"/>
        <v>21340995000</v>
      </c>
      <c r="L176" s="17">
        <f t="shared" si="14"/>
        <v>5.3583177438851264</v>
      </c>
    </row>
    <row r="177" spans="1:12" x14ac:dyDescent="0.3">
      <c r="A177" s="1" t="s">
        <v>61</v>
      </c>
      <c r="B177" s="11">
        <v>2022</v>
      </c>
      <c r="C177" s="1" t="s">
        <v>69</v>
      </c>
      <c r="D177" s="2">
        <v>32000</v>
      </c>
      <c r="E177" s="2">
        <v>8812</v>
      </c>
      <c r="F177" s="2">
        <f t="shared" si="10"/>
        <v>281984000</v>
      </c>
      <c r="G177" s="2">
        <v>4229891000</v>
      </c>
      <c r="H177" s="2">
        <v>226651000</v>
      </c>
      <c r="I177" s="1">
        <f t="shared" si="11"/>
        <v>15109598.706917033</v>
      </c>
      <c r="J177" s="1">
        <f t="shared" si="12"/>
        <v>5.3583177438851255</v>
      </c>
      <c r="K177" s="1">
        <f t="shared" si="13"/>
        <v>21340995000</v>
      </c>
      <c r="L177" s="17">
        <f t="shared" si="14"/>
        <v>5.3583177438851264</v>
      </c>
    </row>
    <row r="178" spans="1:12" x14ac:dyDescent="0.3">
      <c r="A178" s="1" t="s">
        <v>61</v>
      </c>
      <c r="B178" s="11">
        <v>2022</v>
      </c>
      <c r="C178" s="1" t="s">
        <v>70</v>
      </c>
      <c r="D178" s="2">
        <v>33000</v>
      </c>
      <c r="E178" s="2">
        <v>9086</v>
      </c>
      <c r="F178" s="2">
        <f t="shared" si="10"/>
        <v>299838000</v>
      </c>
      <c r="G178" s="2">
        <v>4229891000</v>
      </c>
      <c r="H178" s="2">
        <v>226651000</v>
      </c>
      <c r="I178" s="1">
        <f t="shared" si="11"/>
        <v>16066272.756910283</v>
      </c>
      <c r="J178" s="1">
        <f t="shared" si="12"/>
        <v>5.3583177438851255</v>
      </c>
      <c r="K178" s="1">
        <f t="shared" si="13"/>
        <v>21340995000</v>
      </c>
      <c r="L178" s="17">
        <f t="shared" si="14"/>
        <v>5.3583177438851264</v>
      </c>
    </row>
    <row r="179" spans="1:12" x14ac:dyDescent="0.3">
      <c r="A179" s="1" t="s">
        <v>61</v>
      </c>
      <c r="B179" s="11">
        <v>2022</v>
      </c>
      <c r="C179" s="1" t="s">
        <v>71</v>
      </c>
      <c r="D179" s="2">
        <v>35000</v>
      </c>
      <c r="E179" s="2">
        <v>9096</v>
      </c>
      <c r="F179" s="2">
        <f t="shared" si="10"/>
        <v>318360000</v>
      </c>
      <c r="G179" s="2">
        <v>4229891000</v>
      </c>
      <c r="H179" s="2">
        <v>226651000</v>
      </c>
      <c r="I179" s="1">
        <f t="shared" si="11"/>
        <v>17058740.369432688</v>
      </c>
      <c r="J179" s="1">
        <f t="shared" si="12"/>
        <v>5.3583177438851264</v>
      </c>
      <c r="K179" s="1">
        <f t="shared" si="13"/>
        <v>21340995000</v>
      </c>
      <c r="L179" s="17">
        <f t="shared" si="14"/>
        <v>5.3583177438851264</v>
      </c>
    </row>
    <row r="180" spans="1:12" x14ac:dyDescent="0.3">
      <c r="A180" s="1" t="s">
        <v>61</v>
      </c>
      <c r="B180" s="11">
        <v>2022</v>
      </c>
      <c r="C180" s="1" t="s">
        <v>72</v>
      </c>
      <c r="D180" s="2">
        <v>35000</v>
      </c>
      <c r="E180" s="2">
        <v>9096</v>
      </c>
      <c r="F180" s="2">
        <f t="shared" si="10"/>
        <v>318360000</v>
      </c>
      <c r="G180" s="2">
        <v>4229891000</v>
      </c>
      <c r="H180" s="2">
        <v>226651000</v>
      </c>
      <c r="I180" s="1">
        <f t="shared" si="11"/>
        <v>17058740.369432688</v>
      </c>
      <c r="J180" s="1">
        <f t="shared" si="12"/>
        <v>5.3583177438851264</v>
      </c>
      <c r="K180" s="1">
        <f t="shared" si="13"/>
        <v>21340995000</v>
      </c>
      <c r="L180" s="17">
        <f t="shared" si="14"/>
        <v>5.3583177438851264</v>
      </c>
    </row>
    <row r="181" spans="1:12" x14ac:dyDescent="0.3">
      <c r="A181" s="1" t="s">
        <v>61</v>
      </c>
      <c r="B181" s="11">
        <v>2022</v>
      </c>
      <c r="C181" s="1" t="s">
        <v>73</v>
      </c>
      <c r="D181" s="2">
        <v>35000</v>
      </c>
      <c r="E181" s="2">
        <v>9167</v>
      </c>
      <c r="F181" s="2">
        <f t="shared" si="10"/>
        <v>320845000</v>
      </c>
      <c r="G181" s="2">
        <v>4229891000</v>
      </c>
      <c r="H181" s="2">
        <v>226651000</v>
      </c>
      <c r="I181" s="1">
        <f t="shared" si="11"/>
        <v>17191894.565368231</v>
      </c>
      <c r="J181" s="1">
        <f t="shared" si="12"/>
        <v>5.3583177438851255</v>
      </c>
      <c r="K181" s="1">
        <f t="shared" si="13"/>
        <v>21340995000</v>
      </c>
      <c r="L181" s="17">
        <f t="shared" si="14"/>
        <v>5.3583177438851264</v>
      </c>
    </row>
    <row r="182" spans="1:12" x14ac:dyDescent="0.3">
      <c r="A182" s="1" t="s">
        <v>61</v>
      </c>
      <c r="B182" s="11">
        <v>2022</v>
      </c>
      <c r="C182" s="1" t="s">
        <v>74</v>
      </c>
      <c r="D182" s="2">
        <v>26000</v>
      </c>
      <c r="E182" s="2">
        <v>9723</v>
      </c>
      <c r="F182" s="2">
        <f t="shared" si="10"/>
        <v>252798000</v>
      </c>
      <c r="G182" s="2">
        <v>4229891000</v>
      </c>
      <c r="H182" s="2">
        <v>226651000</v>
      </c>
      <c r="I182" s="1">
        <f t="shared" si="11"/>
        <v>13545720.090186721</v>
      </c>
      <c r="J182" s="1">
        <f t="shared" si="12"/>
        <v>5.3583177438851255</v>
      </c>
      <c r="K182" s="1">
        <f t="shared" si="13"/>
        <v>21340995000</v>
      </c>
      <c r="L182" s="17">
        <f t="shared" si="14"/>
        <v>5.3583177438851264</v>
      </c>
    </row>
    <row r="183" spans="1:12" x14ac:dyDescent="0.3">
      <c r="A183" s="1" t="s">
        <v>61</v>
      </c>
      <c r="B183" s="11">
        <v>2022</v>
      </c>
      <c r="C183" s="1" t="s">
        <v>75</v>
      </c>
      <c r="D183" s="2">
        <v>36000</v>
      </c>
      <c r="E183" s="2">
        <v>9723</v>
      </c>
      <c r="F183" s="2">
        <f t="shared" si="10"/>
        <v>350028000</v>
      </c>
      <c r="G183" s="2">
        <v>4229891000</v>
      </c>
      <c r="H183" s="2">
        <v>226651000</v>
      </c>
      <c r="I183" s="1">
        <f t="shared" si="11"/>
        <v>18755612.432566229</v>
      </c>
      <c r="J183" s="1">
        <f t="shared" si="12"/>
        <v>5.3583177438851264</v>
      </c>
      <c r="K183" s="1">
        <f t="shared" si="13"/>
        <v>21340995000</v>
      </c>
      <c r="L183" s="17">
        <f t="shared" si="14"/>
        <v>5.3583177438851264</v>
      </c>
    </row>
    <row r="184" spans="1:12" x14ac:dyDescent="0.3">
      <c r="A184" s="1" t="s">
        <v>61</v>
      </c>
      <c r="B184" s="11">
        <v>2022</v>
      </c>
      <c r="C184" s="1" t="s">
        <v>76</v>
      </c>
      <c r="D184" s="2">
        <v>32000</v>
      </c>
      <c r="E184" s="2">
        <v>9723</v>
      </c>
      <c r="F184" s="2">
        <f t="shared" si="10"/>
        <v>311136000</v>
      </c>
      <c r="G184" s="2">
        <v>4229891000</v>
      </c>
      <c r="H184" s="2">
        <v>226651000</v>
      </c>
      <c r="I184" s="1">
        <f t="shared" si="11"/>
        <v>16671655.495614426</v>
      </c>
      <c r="J184" s="1">
        <f t="shared" si="12"/>
        <v>5.3583177438851264</v>
      </c>
      <c r="K184" s="1">
        <f t="shared" si="13"/>
        <v>21340995000</v>
      </c>
      <c r="L184" s="17">
        <f t="shared" si="14"/>
        <v>5.3583177438851264</v>
      </c>
    </row>
    <row r="185" spans="1:12" x14ac:dyDescent="0.3">
      <c r="A185" s="1" t="s">
        <v>61</v>
      </c>
      <c r="B185" s="11">
        <v>2023</v>
      </c>
      <c r="C185" s="1" t="s">
        <v>62</v>
      </c>
      <c r="D185" s="2">
        <v>29000</v>
      </c>
      <c r="E185" s="2">
        <v>10309</v>
      </c>
      <c r="F185" s="2">
        <f t="shared" si="10"/>
        <v>298961000</v>
      </c>
      <c r="G185" s="2">
        <v>2818701000</v>
      </c>
      <c r="H185" s="2">
        <v>705874000</v>
      </c>
      <c r="I185" s="1">
        <f t="shared" si="11"/>
        <v>74867393.49579823</v>
      </c>
      <c r="J185" s="1">
        <f t="shared" si="12"/>
        <v>25.04252845548357</v>
      </c>
      <c r="K185" s="1">
        <f t="shared" si="13"/>
        <v>21340995000</v>
      </c>
      <c r="L185" s="17">
        <f t="shared" si="14"/>
        <v>25.04252845548357</v>
      </c>
    </row>
    <row r="186" spans="1:12" x14ac:dyDescent="0.3">
      <c r="A186" s="1" t="s">
        <v>61</v>
      </c>
      <c r="B186" s="11">
        <v>2023</v>
      </c>
      <c r="C186" s="1" t="s">
        <v>63</v>
      </c>
      <c r="D186" s="2">
        <v>31000</v>
      </c>
      <c r="E186" s="2">
        <v>10309</v>
      </c>
      <c r="F186" s="2">
        <f t="shared" si="10"/>
        <v>319579000</v>
      </c>
      <c r="G186" s="2">
        <v>2818701000</v>
      </c>
      <c r="H186" s="2">
        <v>705874000</v>
      </c>
      <c r="I186" s="1">
        <f t="shared" si="11"/>
        <v>80030662.012749851</v>
      </c>
      <c r="J186" s="1">
        <f t="shared" si="12"/>
        <v>25.042528455483577</v>
      </c>
      <c r="K186" s="1">
        <f t="shared" si="13"/>
        <v>21340995000</v>
      </c>
      <c r="L186" s="17">
        <f t="shared" si="14"/>
        <v>25.04252845548357</v>
      </c>
    </row>
    <row r="187" spans="1:12" x14ac:dyDescent="0.3">
      <c r="A187" s="1" t="s">
        <v>61</v>
      </c>
      <c r="B187" s="11">
        <v>2023</v>
      </c>
      <c r="C187" s="1" t="s">
        <v>64</v>
      </c>
      <c r="D187" s="2">
        <v>31000</v>
      </c>
      <c r="E187" s="2">
        <v>10309</v>
      </c>
      <c r="F187" s="2">
        <f t="shared" si="10"/>
        <v>319579000</v>
      </c>
      <c r="G187" s="2">
        <v>2818701000</v>
      </c>
      <c r="H187" s="2">
        <v>705874000</v>
      </c>
      <c r="I187" s="1">
        <f t="shared" si="11"/>
        <v>80030662.012749851</v>
      </c>
      <c r="J187" s="1">
        <f t="shared" si="12"/>
        <v>25.042528455483577</v>
      </c>
      <c r="K187" s="1">
        <f t="shared" si="13"/>
        <v>21340995000</v>
      </c>
      <c r="L187" s="17">
        <f t="shared" si="14"/>
        <v>25.04252845548357</v>
      </c>
    </row>
    <row r="188" spans="1:12" x14ac:dyDescent="0.3">
      <c r="A188" s="1" t="s">
        <v>61</v>
      </c>
      <c r="B188" s="11">
        <v>2023</v>
      </c>
      <c r="C188" s="1" t="s">
        <v>65</v>
      </c>
      <c r="D188" s="2">
        <v>32000</v>
      </c>
      <c r="E188" s="2">
        <v>10309</v>
      </c>
      <c r="F188" s="2">
        <f t="shared" si="10"/>
        <v>329888000</v>
      </c>
      <c r="G188" s="2">
        <v>2818701000</v>
      </c>
      <c r="H188" s="2">
        <v>705874000</v>
      </c>
      <c r="I188" s="1">
        <f t="shared" si="11"/>
        <v>82612296.271225646</v>
      </c>
      <c r="J188" s="1">
        <f t="shared" si="12"/>
        <v>25.04252845548357</v>
      </c>
      <c r="K188" s="1">
        <f t="shared" si="13"/>
        <v>21340995000</v>
      </c>
      <c r="L188" s="17">
        <f t="shared" si="14"/>
        <v>25.04252845548357</v>
      </c>
    </row>
    <row r="189" spans="1:12" x14ac:dyDescent="0.3">
      <c r="A189" s="1" t="s">
        <v>61</v>
      </c>
      <c r="B189" s="11">
        <v>2023</v>
      </c>
      <c r="C189" s="1" t="s">
        <v>66</v>
      </c>
      <c r="D189" s="2">
        <v>32000</v>
      </c>
      <c r="E189" s="2">
        <v>10391</v>
      </c>
      <c r="F189" s="2">
        <f t="shared" si="10"/>
        <v>332512000</v>
      </c>
      <c r="G189" s="2">
        <v>2818701000</v>
      </c>
      <c r="H189" s="2">
        <v>705874000</v>
      </c>
      <c r="I189" s="1">
        <f t="shared" si="11"/>
        <v>83269412.217897534</v>
      </c>
      <c r="J189" s="1">
        <f t="shared" si="12"/>
        <v>25.04252845548357</v>
      </c>
      <c r="K189" s="1">
        <f t="shared" si="13"/>
        <v>21340995000</v>
      </c>
      <c r="L189" s="17">
        <f t="shared" si="14"/>
        <v>25.04252845548357</v>
      </c>
    </row>
    <row r="190" spans="1:12" x14ac:dyDescent="0.3">
      <c r="A190" s="1" t="s">
        <v>61</v>
      </c>
      <c r="B190" s="11">
        <v>2023</v>
      </c>
      <c r="C190" s="1" t="s">
        <v>67</v>
      </c>
      <c r="D190" s="2">
        <v>29000</v>
      </c>
      <c r="E190" s="2">
        <v>10845</v>
      </c>
      <c r="F190" s="2">
        <f t="shared" si="10"/>
        <v>314505000</v>
      </c>
      <c r="G190" s="2">
        <v>2818701000</v>
      </c>
      <c r="H190" s="2">
        <v>705874000</v>
      </c>
      <c r="I190" s="1">
        <f t="shared" si="11"/>
        <v>78760004.118918613</v>
      </c>
      <c r="J190" s="1">
        <f t="shared" si="12"/>
        <v>25.042528455483577</v>
      </c>
      <c r="K190" s="1">
        <f t="shared" si="13"/>
        <v>21340995000</v>
      </c>
      <c r="L190" s="17">
        <f t="shared" si="14"/>
        <v>25.04252845548357</v>
      </c>
    </row>
    <row r="191" spans="1:12" x14ac:dyDescent="0.3">
      <c r="A191" s="1" t="s">
        <v>61</v>
      </c>
      <c r="B191" s="11">
        <v>2023</v>
      </c>
      <c r="C191" s="1" t="s">
        <v>68</v>
      </c>
      <c r="D191" s="2">
        <v>29000</v>
      </c>
      <c r="E191" s="2">
        <v>11170</v>
      </c>
      <c r="F191" s="2">
        <f t="shared" si="10"/>
        <v>323930000</v>
      </c>
      <c r="G191" s="2">
        <v>2818701000</v>
      </c>
      <c r="H191" s="2">
        <v>705874000</v>
      </c>
      <c r="I191" s="1">
        <f t="shared" si="11"/>
        <v>81120262.425847933</v>
      </c>
      <c r="J191" s="1">
        <f t="shared" si="12"/>
        <v>25.04252845548357</v>
      </c>
      <c r="K191" s="1">
        <f t="shared" si="13"/>
        <v>21340995000</v>
      </c>
      <c r="L191" s="17">
        <f t="shared" si="14"/>
        <v>25.04252845548357</v>
      </c>
    </row>
    <row r="192" spans="1:12" x14ac:dyDescent="0.3">
      <c r="A192" s="1" t="s">
        <v>61</v>
      </c>
      <c r="B192" s="11">
        <v>2023</v>
      </c>
      <c r="C192" s="1" t="s">
        <v>69</v>
      </c>
      <c r="D192" s="2">
        <v>32000</v>
      </c>
      <c r="E192" s="2">
        <v>11204</v>
      </c>
      <c r="F192" s="2">
        <f t="shared" si="10"/>
        <v>358528000</v>
      </c>
      <c r="G192" s="2">
        <v>2818701000</v>
      </c>
      <c r="H192" s="2">
        <v>705874000</v>
      </c>
      <c r="I192" s="1">
        <f t="shared" si="11"/>
        <v>89784476.420876145</v>
      </c>
      <c r="J192" s="1">
        <f t="shared" si="12"/>
        <v>25.042528455483577</v>
      </c>
      <c r="K192" s="1">
        <f t="shared" si="13"/>
        <v>21340995000</v>
      </c>
      <c r="L192" s="17">
        <f t="shared" si="14"/>
        <v>25.04252845548357</v>
      </c>
    </row>
    <row r="193" spans="1:12" x14ac:dyDescent="0.3">
      <c r="A193" s="1" t="s">
        <v>61</v>
      </c>
      <c r="B193" s="11">
        <v>2023</v>
      </c>
      <c r="C193" s="1" t="s">
        <v>70</v>
      </c>
      <c r="D193" s="2">
        <v>33000</v>
      </c>
      <c r="E193" s="2">
        <v>11803</v>
      </c>
      <c r="F193" s="2">
        <f t="shared" si="10"/>
        <v>389499000</v>
      </c>
      <c r="G193" s="2">
        <v>2818701000</v>
      </c>
      <c r="H193" s="2">
        <v>705874000</v>
      </c>
      <c r="I193" s="1">
        <f t="shared" si="11"/>
        <v>97540397.908823967</v>
      </c>
      <c r="J193" s="1">
        <f t="shared" si="12"/>
        <v>25.042528455483577</v>
      </c>
      <c r="K193" s="1">
        <f t="shared" si="13"/>
        <v>21340995000</v>
      </c>
      <c r="L193" s="17">
        <f t="shared" si="14"/>
        <v>25.04252845548357</v>
      </c>
    </row>
    <row r="194" spans="1:12" x14ac:dyDescent="0.3">
      <c r="A194" s="1" t="s">
        <v>61</v>
      </c>
      <c r="B194" s="11">
        <v>2023</v>
      </c>
      <c r="C194" s="1" t="s">
        <v>71</v>
      </c>
      <c r="D194" s="2">
        <v>35000</v>
      </c>
      <c r="E194" s="2">
        <v>11942</v>
      </c>
      <c r="F194" s="2">
        <f t="shared" ref="F194:F257" si="15">E194*D194</f>
        <v>417970000</v>
      </c>
      <c r="G194" s="2">
        <v>2818701000</v>
      </c>
      <c r="H194" s="2">
        <v>705874000</v>
      </c>
      <c r="I194" s="1">
        <f t="shared" si="11"/>
        <v>104670256.18538469</v>
      </c>
      <c r="J194" s="1">
        <f t="shared" si="12"/>
        <v>25.042528455483577</v>
      </c>
      <c r="K194" s="1">
        <f t="shared" si="13"/>
        <v>21340995000</v>
      </c>
      <c r="L194" s="17">
        <f t="shared" si="14"/>
        <v>25.04252845548357</v>
      </c>
    </row>
    <row r="195" spans="1:12" x14ac:dyDescent="0.3">
      <c r="A195" s="1" t="s">
        <v>61</v>
      </c>
      <c r="B195" s="11">
        <v>2023</v>
      </c>
      <c r="C195" s="1" t="s">
        <v>72</v>
      </c>
      <c r="D195" s="2">
        <v>35000</v>
      </c>
      <c r="E195" s="2">
        <v>12307</v>
      </c>
      <c r="F195" s="2">
        <f t="shared" si="15"/>
        <v>430745000</v>
      </c>
      <c r="G195" s="2">
        <v>2818701000</v>
      </c>
      <c r="H195" s="2">
        <v>705874000</v>
      </c>
      <c r="I195" s="1">
        <f t="shared" ref="I195:I258" si="16">IF(F195&gt;0,H195*(F195/G195),0)</f>
        <v>107869439.19557272</v>
      </c>
      <c r="J195" s="1">
        <f t="shared" ref="J195:J258" si="17">IF(F195&gt;0,I195/F195*100,0)</f>
        <v>25.042528455483577</v>
      </c>
      <c r="K195" s="1">
        <f t="shared" ref="K195:K258" si="18">SUMIF(A:A,A195,H:H)</f>
        <v>21340995000</v>
      </c>
      <c r="L195" s="17">
        <f t="shared" ref="L195:L258" si="19">IF(G195&gt;0,H195/G195*100,0)</f>
        <v>25.04252845548357</v>
      </c>
    </row>
    <row r="196" spans="1:12" x14ac:dyDescent="0.3">
      <c r="A196" s="1" t="s">
        <v>61</v>
      </c>
      <c r="B196" s="11">
        <v>2023</v>
      </c>
      <c r="C196" s="1" t="s">
        <v>73</v>
      </c>
      <c r="D196" s="2">
        <v>35000</v>
      </c>
      <c r="E196" s="2">
        <v>12368</v>
      </c>
      <c r="F196" s="2">
        <f t="shared" si="15"/>
        <v>432880000</v>
      </c>
      <c r="G196" s="2">
        <v>2818701000</v>
      </c>
      <c r="H196" s="2">
        <v>705874000</v>
      </c>
      <c r="I196" s="1">
        <f t="shared" si="16"/>
        <v>108404097.17809728</v>
      </c>
      <c r="J196" s="1">
        <f t="shared" si="17"/>
        <v>25.04252845548357</v>
      </c>
      <c r="K196" s="1">
        <f t="shared" si="18"/>
        <v>21340995000</v>
      </c>
      <c r="L196" s="17">
        <f t="shared" si="19"/>
        <v>25.04252845548357</v>
      </c>
    </row>
    <row r="197" spans="1:12" x14ac:dyDescent="0.3">
      <c r="A197" s="1" t="s">
        <v>61</v>
      </c>
      <c r="B197" s="11">
        <v>2023</v>
      </c>
      <c r="C197" s="1" t="s">
        <v>74</v>
      </c>
      <c r="D197" s="2">
        <v>26000</v>
      </c>
      <c r="E197" s="2">
        <v>12720</v>
      </c>
      <c r="F197" s="2">
        <f t="shared" si="15"/>
        <v>330720000</v>
      </c>
      <c r="G197" s="2">
        <v>2818701000</v>
      </c>
      <c r="H197" s="2">
        <v>705874000</v>
      </c>
      <c r="I197" s="1">
        <f t="shared" si="16"/>
        <v>82820650.107975274</v>
      </c>
      <c r="J197" s="1">
        <f t="shared" si="17"/>
        <v>25.042528455483577</v>
      </c>
      <c r="K197" s="1">
        <f t="shared" si="18"/>
        <v>21340995000</v>
      </c>
      <c r="L197" s="17">
        <f t="shared" si="19"/>
        <v>25.04252845548357</v>
      </c>
    </row>
    <row r="198" spans="1:12" x14ac:dyDescent="0.3">
      <c r="A198" s="1" t="s">
        <v>61</v>
      </c>
      <c r="B198" s="11">
        <v>2023</v>
      </c>
      <c r="C198" s="1" t="s">
        <v>75</v>
      </c>
      <c r="D198" s="2">
        <v>36000</v>
      </c>
      <c r="E198" s="2">
        <v>12824</v>
      </c>
      <c r="F198" s="2">
        <f t="shared" si="15"/>
        <v>461664000</v>
      </c>
      <c r="G198" s="2">
        <v>2818701000</v>
      </c>
      <c r="H198" s="2">
        <v>705874000</v>
      </c>
      <c r="I198" s="1">
        <f t="shared" si="16"/>
        <v>115612338.56872368</v>
      </c>
      <c r="J198" s="1">
        <f t="shared" si="17"/>
        <v>25.04252845548357</v>
      </c>
      <c r="K198" s="1">
        <f t="shared" si="18"/>
        <v>21340995000</v>
      </c>
      <c r="L198" s="17">
        <f t="shared" si="19"/>
        <v>25.04252845548357</v>
      </c>
    </row>
    <row r="199" spans="1:12" x14ac:dyDescent="0.3">
      <c r="A199" s="1" t="s">
        <v>61</v>
      </c>
      <c r="B199" s="11">
        <v>2023</v>
      </c>
      <c r="C199" s="1" t="s">
        <v>76</v>
      </c>
      <c r="D199" s="2">
        <v>32000</v>
      </c>
      <c r="E199" s="2">
        <v>13139</v>
      </c>
      <c r="F199" s="2">
        <f t="shared" si="15"/>
        <v>420448000</v>
      </c>
      <c r="G199" s="2">
        <v>2818701000</v>
      </c>
      <c r="H199" s="2">
        <v>705874000</v>
      </c>
      <c r="I199" s="1">
        <f t="shared" si="16"/>
        <v>105290810.04051156</v>
      </c>
      <c r="J199" s="1">
        <f t="shared" si="17"/>
        <v>25.04252845548357</v>
      </c>
      <c r="K199" s="1">
        <f t="shared" si="18"/>
        <v>21340995000</v>
      </c>
      <c r="L199" s="17">
        <f t="shared" si="19"/>
        <v>25.04252845548357</v>
      </c>
    </row>
    <row r="200" spans="1:12" x14ac:dyDescent="0.3">
      <c r="A200" s="1" t="s">
        <v>61</v>
      </c>
      <c r="B200" s="11">
        <v>2024</v>
      </c>
      <c r="C200" s="1" t="s">
        <v>62</v>
      </c>
      <c r="D200" s="2">
        <v>29000</v>
      </c>
      <c r="E200" s="2">
        <v>13225</v>
      </c>
      <c r="F200" s="2">
        <f t="shared" si="15"/>
        <v>383525000</v>
      </c>
      <c r="G200" s="2">
        <v>2100768000</v>
      </c>
      <c r="H200" s="2">
        <v>490208000</v>
      </c>
      <c r="I200" s="1">
        <f t="shared" si="16"/>
        <v>89494424.515224919</v>
      </c>
      <c r="J200" s="1">
        <f t="shared" si="17"/>
        <v>23.334704260537102</v>
      </c>
      <c r="K200" s="1">
        <f t="shared" si="18"/>
        <v>21340995000</v>
      </c>
      <c r="L200" s="17">
        <f t="shared" si="19"/>
        <v>23.334704260537098</v>
      </c>
    </row>
    <row r="201" spans="1:12" x14ac:dyDescent="0.3">
      <c r="A201" s="1" t="s">
        <v>61</v>
      </c>
      <c r="B201" s="11">
        <v>2024</v>
      </c>
      <c r="C201" s="1" t="s">
        <v>63</v>
      </c>
      <c r="D201" s="2">
        <v>31000</v>
      </c>
      <c r="E201" s="2">
        <v>13368</v>
      </c>
      <c r="F201" s="2">
        <f t="shared" si="15"/>
        <v>414408000</v>
      </c>
      <c r="G201" s="2">
        <v>2100768000</v>
      </c>
      <c r="H201" s="2">
        <v>490208000</v>
      </c>
      <c r="I201" s="1">
        <f t="shared" si="16"/>
        <v>96700881.23200658</v>
      </c>
      <c r="J201" s="1">
        <f t="shared" si="17"/>
        <v>23.334704260537098</v>
      </c>
      <c r="K201" s="1">
        <f t="shared" si="18"/>
        <v>21340995000</v>
      </c>
      <c r="L201" s="17">
        <f t="shared" si="19"/>
        <v>23.334704260537098</v>
      </c>
    </row>
    <row r="202" spans="1:12" x14ac:dyDescent="0.3">
      <c r="A202" s="1" t="s">
        <v>61</v>
      </c>
      <c r="B202" s="11">
        <v>2024</v>
      </c>
      <c r="C202" s="1" t="s">
        <v>64</v>
      </c>
      <c r="D202" s="2">
        <v>31000</v>
      </c>
      <c r="E202" s="2">
        <v>13368</v>
      </c>
      <c r="F202" s="2">
        <f t="shared" si="15"/>
        <v>414408000</v>
      </c>
      <c r="G202" s="2">
        <v>2100768000</v>
      </c>
      <c r="H202" s="2">
        <v>490208000</v>
      </c>
      <c r="I202" s="1">
        <f t="shared" si="16"/>
        <v>96700881.23200658</v>
      </c>
      <c r="J202" s="1">
        <f t="shared" si="17"/>
        <v>23.334704260537098</v>
      </c>
      <c r="K202" s="1">
        <f t="shared" si="18"/>
        <v>21340995000</v>
      </c>
      <c r="L202" s="17">
        <f t="shared" si="19"/>
        <v>23.334704260537098</v>
      </c>
    </row>
    <row r="203" spans="1:12" x14ac:dyDescent="0.3">
      <c r="A203" s="1" t="s">
        <v>61</v>
      </c>
      <c r="B203" s="11">
        <v>2024</v>
      </c>
      <c r="C203" s="1" t="s">
        <v>65</v>
      </c>
      <c r="D203" s="2">
        <v>32000</v>
      </c>
      <c r="E203" s="2">
        <v>13368</v>
      </c>
      <c r="F203" s="2">
        <f t="shared" si="15"/>
        <v>427776000</v>
      </c>
      <c r="G203" s="2">
        <v>2100768000</v>
      </c>
      <c r="H203" s="2">
        <v>490208000</v>
      </c>
      <c r="I203" s="1">
        <f t="shared" si="16"/>
        <v>99820264.497555181</v>
      </c>
      <c r="J203" s="1">
        <f t="shared" si="17"/>
        <v>23.334704260537098</v>
      </c>
      <c r="K203" s="1">
        <f t="shared" si="18"/>
        <v>21340995000</v>
      </c>
      <c r="L203" s="17">
        <f t="shared" si="19"/>
        <v>23.334704260537098</v>
      </c>
    </row>
    <row r="204" spans="1:12" x14ac:dyDescent="0.3">
      <c r="A204" s="1" t="s">
        <v>61</v>
      </c>
      <c r="B204" s="11">
        <v>2024</v>
      </c>
      <c r="C204" s="1" t="s">
        <v>66</v>
      </c>
      <c r="D204" s="2">
        <v>32000</v>
      </c>
      <c r="E204" s="2">
        <v>13368</v>
      </c>
      <c r="F204" s="2">
        <f t="shared" si="15"/>
        <v>427776000</v>
      </c>
      <c r="G204" s="2">
        <v>2100768000</v>
      </c>
      <c r="H204" s="2">
        <v>490208000</v>
      </c>
      <c r="I204" s="1">
        <f t="shared" si="16"/>
        <v>99820264.497555181</v>
      </c>
      <c r="J204" s="1">
        <f t="shared" si="17"/>
        <v>23.334704260537098</v>
      </c>
      <c r="K204" s="1">
        <f t="shared" si="18"/>
        <v>21340995000</v>
      </c>
      <c r="L204" s="17">
        <f t="shared" si="19"/>
        <v>23.334704260537098</v>
      </c>
    </row>
    <row r="205" spans="1:12" x14ac:dyDescent="0.3">
      <c r="A205" s="1" t="s">
        <v>61</v>
      </c>
      <c r="B205" s="11">
        <v>2024</v>
      </c>
      <c r="C205" s="1" t="s">
        <v>67</v>
      </c>
      <c r="D205" s="2">
        <v>29000</v>
      </c>
      <c r="E205" s="2">
        <v>13753</v>
      </c>
      <c r="F205" s="2">
        <f t="shared" si="15"/>
        <v>398837000</v>
      </c>
      <c r="G205" s="2">
        <v>2100768000</v>
      </c>
      <c r="H205" s="2">
        <v>490208000</v>
      </c>
      <c r="I205" s="1">
        <f t="shared" si="16"/>
        <v>93067434.43159835</v>
      </c>
      <c r="J205" s="1">
        <f t="shared" si="17"/>
        <v>23.334704260537098</v>
      </c>
      <c r="K205" s="1">
        <f t="shared" si="18"/>
        <v>21340995000</v>
      </c>
      <c r="L205" s="17">
        <f t="shared" si="19"/>
        <v>23.334704260537098</v>
      </c>
    </row>
    <row r="206" spans="1:12" x14ac:dyDescent="0.3">
      <c r="A206" s="1" t="s">
        <v>61</v>
      </c>
      <c r="B206" s="11">
        <v>2024</v>
      </c>
      <c r="C206" s="1" t="s">
        <v>68</v>
      </c>
      <c r="D206" s="2">
        <v>29000</v>
      </c>
      <c r="E206" s="2">
        <v>14093</v>
      </c>
      <c r="F206" s="2">
        <f t="shared" si="15"/>
        <v>408697000</v>
      </c>
      <c r="G206" s="2">
        <v>2100768000</v>
      </c>
      <c r="H206" s="2">
        <v>490208000</v>
      </c>
      <c r="I206" s="1">
        <f t="shared" si="16"/>
        <v>95368236.271687314</v>
      </c>
      <c r="J206" s="1">
        <f t="shared" si="17"/>
        <v>23.334704260537102</v>
      </c>
      <c r="K206" s="1">
        <f t="shared" si="18"/>
        <v>21340995000</v>
      </c>
      <c r="L206" s="17">
        <f t="shared" si="19"/>
        <v>23.334704260537098</v>
      </c>
    </row>
    <row r="207" spans="1:12" x14ac:dyDescent="0.3">
      <c r="A207" s="1" t="s">
        <v>61</v>
      </c>
      <c r="B207" s="11">
        <v>2024</v>
      </c>
      <c r="C207" s="1" t="s">
        <v>69</v>
      </c>
      <c r="D207" s="2">
        <v>32000</v>
      </c>
      <c r="E207" s="2">
        <v>14169</v>
      </c>
      <c r="F207" s="2">
        <f t="shared" si="15"/>
        <v>453408000</v>
      </c>
      <c r="G207" s="2">
        <v>2100768000</v>
      </c>
      <c r="H207" s="2">
        <v>490208000</v>
      </c>
      <c r="I207" s="1">
        <f t="shared" si="16"/>
        <v>105801415.89361605</v>
      </c>
      <c r="J207" s="1">
        <f t="shared" si="17"/>
        <v>23.334704260537098</v>
      </c>
      <c r="K207" s="1">
        <f t="shared" si="18"/>
        <v>21340995000</v>
      </c>
      <c r="L207" s="17">
        <f t="shared" si="19"/>
        <v>23.334704260537098</v>
      </c>
    </row>
    <row r="208" spans="1:12" x14ac:dyDescent="0.3">
      <c r="A208" s="1" t="s">
        <v>61</v>
      </c>
      <c r="B208" s="11">
        <v>2024</v>
      </c>
      <c r="C208" s="1" t="s">
        <v>70</v>
      </c>
      <c r="D208" s="2">
        <v>33000</v>
      </c>
      <c r="E208" s="2">
        <v>14458</v>
      </c>
      <c r="F208" s="2">
        <f t="shared" si="15"/>
        <v>477114000</v>
      </c>
      <c r="G208" s="2">
        <v>2100768000</v>
      </c>
      <c r="H208" s="2">
        <v>490208000</v>
      </c>
      <c r="I208" s="1">
        <f t="shared" si="16"/>
        <v>111333140.88561898</v>
      </c>
      <c r="J208" s="1">
        <f t="shared" si="17"/>
        <v>23.334704260537102</v>
      </c>
      <c r="K208" s="1">
        <f t="shared" si="18"/>
        <v>21340995000</v>
      </c>
      <c r="L208" s="17">
        <f t="shared" si="19"/>
        <v>23.334704260537098</v>
      </c>
    </row>
    <row r="209" spans="1:12" x14ac:dyDescent="0.3">
      <c r="A209" s="1" t="s">
        <v>61</v>
      </c>
      <c r="B209" s="11">
        <v>2024</v>
      </c>
      <c r="C209" s="1" t="s">
        <v>71</v>
      </c>
      <c r="D209" s="2">
        <v>35000</v>
      </c>
      <c r="E209" s="2">
        <v>14487</v>
      </c>
      <c r="F209" s="2">
        <f t="shared" si="15"/>
        <v>507045000</v>
      </c>
      <c r="G209" s="2">
        <v>2100768000</v>
      </c>
      <c r="H209" s="2">
        <v>490208000</v>
      </c>
      <c r="I209" s="1">
        <f t="shared" si="16"/>
        <v>118317451.21784033</v>
      </c>
      <c r="J209" s="1">
        <f t="shared" si="17"/>
        <v>23.334704260537098</v>
      </c>
      <c r="K209" s="1">
        <f t="shared" si="18"/>
        <v>21340995000</v>
      </c>
      <c r="L209" s="17">
        <f t="shared" si="19"/>
        <v>23.334704260537098</v>
      </c>
    </row>
    <row r="210" spans="1:12" x14ac:dyDescent="0.3">
      <c r="A210" s="1" t="s">
        <v>61</v>
      </c>
      <c r="B210" s="11">
        <v>2024</v>
      </c>
      <c r="C210" s="1" t="s">
        <v>72</v>
      </c>
      <c r="D210" s="2">
        <v>35000</v>
      </c>
      <c r="E210" s="2">
        <v>14526</v>
      </c>
      <c r="F210" s="2">
        <f t="shared" si="15"/>
        <v>508410000</v>
      </c>
      <c r="G210" s="2">
        <v>2100768000</v>
      </c>
      <c r="H210" s="2">
        <v>490208000</v>
      </c>
      <c r="I210" s="1">
        <f t="shared" si="16"/>
        <v>118635969.93099667</v>
      </c>
      <c r="J210" s="1">
        <f t="shared" si="17"/>
        <v>23.334704260537102</v>
      </c>
      <c r="K210" s="1">
        <f t="shared" si="18"/>
        <v>21340995000</v>
      </c>
      <c r="L210" s="17">
        <f t="shared" si="19"/>
        <v>23.334704260537098</v>
      </c>
    </row>
    <row r="211" spans="1:12" x14ac:dyDescent="0.3">
      <c r="A211" s="1" t="s">
        <v>61</v>
      </c>
      <c r="B211" s="11">
        <v>2024</v>
      </c>
      <c r="C211" s="1" t="s">
        <v>73</v>
      </c>
      <c r="D211" s="2">
        <v>35000</v>
      </c>
      <c r="E211" s="2">
        <v>14537</v>
      </c>
      <c r="F211" s="2">
        <f t="shared" si="15"/>
        <v>508795000</v>
      </c>
      <c r="G211" s="2">
        <v>2100768000</v>
      </c>
      <c r="H211" s="2">
        <v>490208000</v>
      </c>
      <c r="I211" s="1">
        <f t="shared" si="16"/>
        <v>118725808.54239973</v>
      </c>
      <c r="J211" s="1">
        <f t="shared" si="17"/>
        <v>23.334704260537098</v>
      </c>
      <c r="K211" s="1">
        <f t="shared" si="18"/>
        <v>21340995000</v>
      </c>
      <c r="L211" s="17">
        <f t="shared" si="19"/>
        <v>23.334704260537098</v>
      </c>
    </row>
    <row r="212" spans="1:12" x14ac:dyDescent="0.3">
      <c r="A212" s="1" t="s">
        <v>61</v>
      </c>
      <c r="B212" s="11">
        <v>2024</v>
      </c>
      <c r="C212" s="1" t="s">
        <v>74</v>
      </c>
      <c r="D212" s="2">
        <v>26000</v>
      </c>
      <c r="E212" s="2">
        <v>14558</v>
      </c>
      <c r="F212" s="2">
        <f t="shared" si="15"/>
        <v>378508000</v>
      </c>
      <c r="G212" s="2">
        <v>2100768000</v>
      </c>
      <c r="H212" s="2">
        <v>490208000</v>
      </c>
      <c r="I212" s="1">
        <f t="shared" si="16"/>
        <v>88323722.402473763</v>
      </c>
      <c r="J212" s="1">
        <f t="shared" si="17"/>
        <v>23.334704260537098</v>
      </c>
      <c r="K212" s="1">
        <f t="shared" si="18"/>
        <v>21340995000</v>
      </c>
      <c r="L212" s="17">
        <f t="shared" si="19"/>
        <v>23.334704260537098</v>
      </c>
    </row>
    <row r="213" spans="1:12" x14ac:dyDescent="0.3">
      <c r="A213" s="1" t="s">
        <v>61</v>
      </c>
      <c r="B213" s="11">
        <v>2024</v>
      </c>
      <c r="C213" s="1" t="s">
        <v>75</v>
      </c>
      <c r="D213" s="2">
        <v>36000</v>
      </c>
      <c r="E213" s="2">
        <v>15114</v>
      </c>
      <c r="F213" s="2">
        <f t="shared" si="15"/>
        <v>544104000</v>
      </c>
      <c r="G213" s="2">
        <v>2100768000</v>
      </c>
      <c r="H213" s="2">
        <v>490208000</v>
      </c>
      <c r="I213" s="1">
        <f t="shared" si="16"/>
        <v>126965059.26975279</v>
      </c>
      <c r="J213" s="1">
        <f t="shared" si="17"/>
        <v>23.334704260537102</v>
      </c>
      <c r="K213" s="1">
        <f t="shared" si="18"/>
        <v>21340995000</v>
      </c>
      <c r="L213" s="17">
        <f t="shared" si="19"/>
        <v>23.334704260537098</v>
      </c>
    </row>
    <row r="214" spans="1:12" x14ac:dyDescent="0.3">
      <c r="A214" s="1" t="s">
        <v>61</v>
      </c>
      <c r="B214" s="11">
        <v>2024</v>
      </c>
      <c r="C214" s="1" t="s">
        <v>76</v>
      </c>
      <c r="D214" s="2">
        <v>32000</v>
      </c>
      <c r="E214" s="2">
        <v>15278</v>
      </c>
      <c r="F214" s="2">
        <f t="shared" si="15"/>
        <v>488896000</v>
      </c>
      <c r="G214" s="2">
        <v>2100768000</v>
      </c>
      <c r="H214" s="2">
        <v>490208000</v>
      </c>
      <c r="I214" s="1">
        <f t="shared" si="16"/>
        <v>114082435.74159546</v>
      </c>
      <c r="J214" s="1">
        <f t="shared" si="17"/>
        <v>23.334704260537102</v>
      </c>
      <c r="K214" s="1">
        <f t="shared" si="18"/>
        <v>21340995000</v>
      </c>
      <c r="L214" s="17">
        <f t="shared" si="19"/>
        <v>23.334704260537098</v>
      </c>
    </row>
    <row r="215" spans="1:12" x14ac:dyDescent="0.3">
      <c r="A215" s="1" t="s">
        <v>77</v>
      </c>
      <c r="B215" s="11">
        <v>2022</v>
      </c>
      <c r="C215" s="1" t="s">
        <v>78</v>
      </c>
      <c r="D215" s="2">
        <v>8250</v>
      </c>
      <c r="E215" s="2">
        <v>15470</v>
      </c>
      <c r="F215" s="2">
        <f t="shared" si="15"/>
        <v>127627500</v>
      </c>
      <c r="G215" s="2">
        <v>371125000</v>
      </c>
      <c r="H215" s="2">
        <v>31720000</v>
      </c>
      <c r="I215" s="1">
        <f t="shared" si="16"/>
        <v>10908303.940720782</v>
      </c>
      <c r="J215" s="1">
        <f t="shared" si="17"/>
        <v>8.5469855170090945</v>
      </c>
      <c r="K215" s="1">
        <f t="shared" si="18"/>
        <v>3046640000</v>
      </c>
      <c r="L215" s="17">
        <f t="shared" si="19"/>
        <v>8.5469855170090945</v>
      </c>
    </row>
    <row r="216" spans="1:12" x14ac:dyDescent="0.3">
      <c r="A216" s="1" t="s">
        <v>77</v>
      </c>
      <c r="B216" s="11">
        <v>2022</v>
      </c>
      <c r="C216" s="1" t="s">
        <v>79</v>
      </c>
      <c r="D216" s="2">
        <v>1800</v>
      </c>
      <c r="E216" s="2">
        <v>15970</v>
      </c>
      <c r="F216" s="2">
        <f t="shared" si="15"/>
        <v>28746000</v>
      </c>
      <c r="G216" s="2">
        <v>371125000</v>
      </c>
      <c r="H216" s="2">
        <v>31720000</v>
      </c>
      <c r="I216" s="1">
        <f t="shared" si="16"/>
        <v>2456916.4567194339</v>
      </c>
      <c r="J216" s="1">
        <f t="shared" si="17"/>
        <v>8.5469855170090927</v>
      </c>
      <c r="K216" s="1">
        <f t="shared" si="18"/>
        <v>3046640000</v>
      </c>
      <c r="L216" s="17">
        <f t="shared" si="19"/>
        <v>8.5469855170090945</v>
      </c>
    </row>
    <row r="217" spans="1:12" x14ac:dyDescent="0.3">
      <c r="A217" s="1" t="s">
        <v>77</v>
      </c>
      <c r="B217" s="11">
        <v>2022</v>
      </c>
      <c r="C217" s="1" t="s">
        <v>80</v>
      </c>
      <c r="D217" s="2">
        <v>9100</v>
      </c>
      <c r="E217" s="2">
        <v>16170</v>
      </c>
      <c r="F217" s="2">
        <f t="shared" si="15"/>
        <v>147147000</v>
      </c>
      <c r="G217" s="2">
        <v>371125000</v>
      </c>
      <c r="H217" s="2">
        <v>31720000</v>
      </c>
      <c r="I217" s="1">
        <f t="shared" si="16"/>
        <v>12576632.778713372</v>
      </c>
      <c r="J217" s="1">
        <f t="shared" si="17"/>
        <v>8.5469855170090945</v>
      </c>
      <c r="K217" s="1">
        <f t="shared" si="18"/>
        <v>3046640000</v>
      </c>
      <c r="L217" s="17">
        <f t="shared" si="19"/>
        <v>8.5469855170090945</v>
      </c>
    </row>
    <row r="218" spans="1:12" x14ac:dyDescent="0.3">
      <c r="A218" s="1" t="s">
        <v>77</v>
      </c>
      <c r="B218" s="11">
        <v>2022</v>
      </c>
      <c r="C218" s="1" t="s">
        <v>79</v>
      </c>
      <c r="D218" s="2">
        <v>1800</v>
      </c>
      <c r="E218" s="2">
        <v>16296</v>
      </c>
      <c r="F218" s="2">
        <f t="shared" si="15"/>
        <v>29332800</v>
      </c>
      <c r="G218" s="2">
        <v>371125000</v>
      </c>
      <c r="H218" s="2">
        <v>31720000</v>
      </c>
      <c r="I218" s="1">
        <f t="shared" si="16"/>
        <v>2507070.1677332432</v>
      </c>
      <c r="J218" s="1">
        <f t="shared" si="17"/>
        <v>8.5469855170090927</v>
      </c>
      <c r="K218" s="1">
        <f t="shared" si="18"/>
        <v>3046640000</v>
      </c>
      <c r="L218" s="17">
        <f t="shared" si="19"/>
        <v>8.5469855170090945</v>
      </c>
    </row>
    <row r="219" spans="1:12" x14ac:dyDescent="0.3">
      <c r="A219" s="1" t="s">
        <v>77</v>
      </c>
      <c r="B219" s="11">
        <v>2022</v>
      </c>
      <c r="C219" s="1" t="s">
        <v>81</v>
      </c>
      <c r="D219" s="2">
        <v>11300</v>
      </c>
      <c r="E219" s="2">
        <v>16342</v>
      </c>
      <c r="F219" s="2">
        <f t="shared" si="15"/>
        <v>184664600</v>
      </c>
      <c r="G219" s="2">
        <v>371125000</v>
      </c>
      <c r="H219" s="2">
        <v>31720000</v>
      </c>
      <c r="I219" s="1">
        <f t="shared" si="16"/>
        <v>15783256.617042776</v>
      </c>
      <c r="J219" s="1">
        <f t="shared" si="17"/>
        <v>8.5469855170090945</v>
      </c>
      <c r="K219" s="1">
        <f t="shared" si="18"/>
        <v>3046640000</v>
      </c>
      <c r="L219" s="17">
        <f t="shared" si="19"/>
        <v>8.5469855170090945</v>
      </c>
    </row>
    <row r="220" spans="1:12" x14ac:dyDescent="0.3">
      <c r="A220" s="1" t="s">
        <v>77</v>
      </c>
      <c r="B220" s="11">
        <v>2022</v>
      </c>
      <c r="C220" s="1" t="s">
        <v>79</v>
      </c>
      <c r="D220" s="2">
        <v>1800</v>
      </c>
      <c r="E220" s="2">
        <v>16342</v>
      </c>
      <c r="F220" s="2">
        <f t="shared" si="15"/>
        <v>29415600</v>
      </c>
      <c r="G220" s="2">
        <v>371125000</v>
      </c>
      <c r="H220" s="2">
        <v>31720000</v>
      </c>
      <c r="I220" s="1">
        <f t="shared" si="16"/>
        <v>2514147.0717413272</v>
      </c>
      <c r="J220" s="1">
        <f t="shared" si="17"/>
        <v>8.5469855170090945</v>
      </c>
      <c r="K220" s="1">
        <f t="shared" si="18"/>
        <v>3046640000</v>
      </c>
      <c r="L220" s="17">
        <f t="shared" si="19"/>
        <v>8.5469855170090945</v>
      </c>
    </row>
    <row r="221" spans="1:12" x14ac:dyDescent="0.3">
      <c r="A221" s="1" t="s">
        <v>77</v>
      </c>
      <c r="B221" s="11">
        <v>2022</v>
      </c>
      <c r="C221" s="1" t="s">
        <v>82</v>
      </c>
      <c r="D221" s="2">
        <v>17100</v>
      </c>
      <c r="E221" s="2">
        <v>16480</v>
      </c>
      <c r="F221" s="2">
        <f t="shared" si="15"/>
        <v>281808000</v>
      </c>
      <c r="G221" s="2">
        <v>371125000</v>
      </c>
      <c r="H221" s="2">
        <v>31720000</v>
      </c>
      <c r="I221" s="1">
        <f t="shared" si="16"/>
        <v>24086088.945772987</v>
      </c>
      <c r="J221" s="1">
        <f t="shared" si="17"/>
        <v>8.5469855170090945</v>
      </c>
      <c r="K221" s="1">
        <f t="shared" si="18"/>
        <v>3046640000</v>
      </c>
      <c r="L221" s="17">
        <f t="shared" si="19"/>
        <v>8.5469855170090945</v>
      </c>
    </row>
    <row r="222" spans="1:12" x14ac:dyDescent="0.3">
      <c r="A222" s="1" t="s">
        <v>77</v>
      </c>
      <c r="B222" s="11">
        <v>2022</v>
      </c>
      <c r="C222" s="1" t="s">
        <v>79</v>
      </c>
      <c r="D222" s="2">
        <v>2800</v>
      </c>
      <c r="E222" s="2">
        <v>17121</v>
      </c>
      <c r="F222" s="2">
        <f t="shared" si="15"/>
        <v>47938800</v>
      </c>
      <c r="G222" s="2">
        <v>371125000</v>
      </c>
      <c r="H222" s="2">
        <v>31720000</v>
      </c>
      <c r="I222" s="1">
        <f t="shared" si="16"/>
        <v>4097322.2930279556</v>
      </c>
      <c r="J222" s="1">
        <f t="shared" si="17"/>
        <v>8.5469855170090945</v>
      </c>
      <c r="K222" s="1">
        <f t="shared" si="18"/>
        <v>3046640000</v>
      </c>
      <c r="L222" s="17">
        <f t="shared" si="19"/>
        <v>8.5469855170090945</v>
      </c>
    </row>
    <row r="223" spans="1:12" x14ac:dyDescent="0.3">
      <c r="A223" s="1" t="s">
        <v>77</v>
      </c>
      <c r="B223" s="11">
        <v>2022</v>
      </c>
      <c r="C223" s="1" t="s">
        <v>83</v>
      </c>
      <c r="D223" s="2">
        <v>24000</v>
      </c>
      <c r="E223" s="2">
        <v>18333</v>
      </c>
      <c r="F223" s="2">
        <f t="shared" si="15"/>
        <v>439992000</v>
      </c>
      <c r="G223" s="2">
        <v>371125000</v>
      </c>
      <c r="H223" s="2">
        <v>31720000</v>
      </c>
      <c r="I223" s="1">
        <f t="shared" si="16"/>
        <v>37606052.515998647</v>
      </c>
      <c r="J223" s="1">
        <f t="shared" si="17"/>
        <v>8.5469855170090927</v>
      </c>
      <c r="K223" s="1">
        <f t="shared" si="18"/>
        <v>3046640000</v>
      </c>
      <c r="L223" s="17">
        <f t="shared" si="19"/>
        <v>8.5469855170090945</v>
      </c>
    </row>
    <row r="224" spans="1:12" x14ac:dyDescent="0.3">
      <c r="A224" s="1" t="s">
        <v>77</v>
      </c>
      <c r="B224" s="11">
        <v>2022</v>
      </c>
      <c r="C224" s="1" t="s">
        <v>79</v>
      </c>
      <c r="D224" s="2">
        <v>2800</v>
      </c>
      <c r="E224" s="2">
        <v>18598</v>
      </c>
      <c r="F224" s="2">
        <f t="shared" si="15"/>
        <v>52074400</v>
      </c>
      <c r="G224" s="2">
        <v>371125000</v>
      </c>
      <c r="H224" s="2">
        <v>31720000</v>
      </c>
      <c r="I224" s="1">
        <f t="shared" si="16"/>
        <v>4450791.4260693835</v>
      </c>
      <c r="J224" s="1">
        <f t="shared" si="17"/>
        <v>8.5469855170090945</v>
      </c>
      <c r="K224" s="1">
        <f t="shared" si="18"/>
        <v>3046640000</v>
      </c>
      <c r="L224" s="17">
        <f t="shared" si="19"/>
        <v>8.5469855170090945</v>
      </c>
    </row>
    <row r="225" spans="1:12" x14ac:dyDescent="0.3">
      <c r="A225" s="1" t="s">
        <v>77</v>
      </c>
      <c r="B225" s="11">
        <v>2022</v>
      </c>
      <c r="C225" s="1" t="s">
        <v>84</v>
      </c>
      <c r="D225" s="2">
        <v>13670</v>
      </c>
      <c r="E225" s="2">
        <v>18598</v>
      </c>
      <c r="F225" s="2">
        <f t="shared" si="15"/>
        <v>254234660</v>
      </c>
      <c r="G225" s="2">
        <v>371125000</v>
      </c>
      <c r="H225" s="2">
        <v>31720000</v>
      </c>
      <c r="I225" s="1">
        <f t="shared" si="16"/>
        <v>21729399.569417313</v>
      </c>
      <c r="J225" s="1">
        <f t="shared" si="17"/>
        <v>8.5469855170090945</v>
      </c>
      <c r="K225" s="1">
        <f t="shared" si="18"/>
        <v>3046640000</v>
      </c>
      <c r="L225" s="17">
        <f t="shared" si="19"/>
        <v>8.5469855170090945</v>
      </c>
    </row>
    <row r="226" spans="1:12" x14ac:dyDescent="0.3">
      <c r="A226" s="1" t="s">
        <v>77</v>
      </c>
      <c r="B226" s="11">
        <v>2022</v>
      </c>
      <c r="C226" s="1" t="s">
        <v>79</v>
      </c>
      <c r="D226" s="2">
        <v>2800</v>
      </c>
      <c r="E226" s="2">
        <v>18598</v>
      </c>
      <c r="F226" s="2">
        <f t="shared" si="15"/>
        <v>52074400</v>
      </c>
      <c r="G226" s="2">
        <v>371125000</v>
      </c>
      <c r="H226" s="2">
        <v>31720000</v>
      </c>
      <c r="I226" s="1">
        <f t="shared" si="16"/>
        <v>4450791.4260693835</v>
      </c>
      <c r="J226" s="1">
        <f t="shared" si="17"/>
        <v>8.5469855170090945</v>
      </c>
      <c r="K226" s="1">
        <f t="shared" si="18"/>
        <v>3046640000</v>
      </c>
      <c r="L226" s="17">
        <f t="shared" si="19"/>
        <v>8.5469855170090945</v>
      </c>
    </row>
    <row r="227" spans="1:12" x14ac:dyDescent="0.3">
      <c r="A227" s="1" t="s">
        <v>77</v>
      </c>
      <c r="B227" s="11">
        <v>2022</v>
      </c>
      <c r="C227" s="1" t="s">
        <v>85</v>
      </c>
      <c r="D227" s="2">
        <v>20800</v>
      </c>
      <c r="E227" s="2">
        <v>18598</v>
      </c>
      <c r="F227" s="2">
        <f t="shared" si="15"/>
        <v>386838400</v>
      </c>
      <c r="G227" s="2">
        <v>371125000</v>
      </c>
      <c r="H227" s="2">
        <v>31720000</v>
      </c>
      <c r="I227" s="1">
        <f t="shared" si="16"/>
        <v>33063022.022229709</v>
      </c>
      <c r="J227" s="1">
        <f t="shared" si="17"/>
        <v>8.5469855170090945</v>
      </c>
      <c r="K227" s="1">
        <f t="shared" si="18"/>
        <v>3046640000</v>
      </c>
      <c r="L227" s="17">
        <f t="shared" si="19"/>
        <v>8.5469855170090945</v>
      </c>
    </row>
    <row r="228" spans="1:12" x14ac:dyDescent="0.3">
      <c r="A228" s="1" t="s">
        <v>77</v>
      </c>
      <c r="B228" s="11">
        <v>2022</v>
      </c>
      <c r="C228" s="1" t="s">
        <v>79</v>
      </c>
      <c r="D228" s="2">
        <v>2800</v>
      </c>
      <c r="E228" s="2">
        <v>18771</v>
      </c>
      <c r="F228" s="2">
        <f t="shared" si="15"/>
        <v>52558800</v>
      </c>
      <c r="G228" s="2">
        <v>371125000</v>
      </c>
      <c r="H228" s="2">
        <v>31720000</v>
      </c>
      <c r="I228" s="1">
        <f t="shared" si="16"/>
        <v>4492193.0239137756</v>
      </c>
      <c r="J228" s="1">
        <f t="shared" si="17"/>
        <v>8.5469855170090945</v>
      </c>
      <c r="K228" s="1">
        <f t="shared" si="18"/>
        <v>3046640000</v>
      </c>
      <c r="L228" s="17">
        <f t="shared" si="19"/>
        <v>8.5469855170090945</v>
      </c>
    </row>
    <row r="229" spans="1:12" x14ac:dyDescent="0.3">
      <c r="A229" s="1" t="s">
        <v>77</v>
      </c>
      <c r="B229" s="11">
        <v>2022</v>
      </c>
      <c r="C229" s="1" t="s">
        <v>86</v>
      </c>
      <c r="D229" s="2">
        <v>8100</v>
      </c>
      <c r="E229" s="2">
        <v>18893</v>
      </c>
      <c r="F229" s="2">
        <f t="shared" si="15"/>
        <v>153033300</v>
      </c>
      <c r="G229" s="2">
        <v>371125000</v>
      </c>
      <c r="H229" s="2">
        <v>31720000</v>
      </c>
      <c r="I229" s="1">
        <f t="shared" si="16"/>
        <v>13079733.987201078</v>
      </c>
      <c r="J229" s="1">
        <f t="shared" si="17"/>
        <v>8.5469855170090945</v>
      </c>
      <c r="K229" s="1">
        <f t="shared" si="18"/>
        <v>3046640000</v>
      </c>
      <c r="L229" s="17">
        <f t="shared" si="19"/>
        <v>8.5469855170090945</v>
      </c>
    </row>
    <row r="230" spans="1:12" x14ac:dyDescent="0.3">
      <c r="A230" s="1" t="s">
        <v>77</v>
      </c>
      <c r="B230" s="11">
        <v>2022</v>
      </c>
      <c r="C230" s="1" t="s">
        <v>79</v>
      </c>
      <c r="D230" s="2">
        <v>1800</v>
      </c>
      <c r="E230" s="2">
        <v>18893</v>
      </c>
      <c r="F230" s="2">
        <f t="shared" si="15"/>
        <v>34007400</v>
      </c>
      <c r="G230" s="2">
        <v>371125000</v>
      </c>
      <c r="H230" s="2">
        <v>31720000</v>
      </c>
      <c r="I230" s="1">
        <f t="shared" si="16"/>
        <v>2906607.5527113508</v>
      </c>
      <c r="J230" s="1">
        <f t="shared" si="17"/>
        <v>8.5469855170090945</v>
      </c>
      <c r="K230" s="1">
        <f t="shared" si="18"/>
        <v>3046640000</v>
      </c>
      <c r="L230" s="17">
        <f t="shared" si="19"/>
        <v>8.5469855170090945</v>
      </c>
    </row>
    <row r="231" spans="1:12" x14ac:dyDescent="0.3">
      <c r="A231" s="1" t="s">
        <v>77</v>
      </c>
      <c r="B231" s="11">
        <v>2022</v>
      </c>
      <c r="C231" s="1" t="s">
        <v>87</v>
      </c>
      <c r="D231" s="2">
        <v>250</v>
      </c>
      <c r="E231" s="2">
        <v>18893</v>
      </c>
      <c r="F231" s="2">
        <f t="shared" si="15"/>
        <v>4723250</v>
      </c>
      <c r="G231" s="2">
        <v>371125000</v>
      </c>
      <c r="H231" s="2">
        <v>31720000</v>
      </c>
      <c r="I231" s="1">
        <f t="shared" si="16"/>
        <v>403695.49343213206</v>
      </c>
      <c r="J231" s="1">
        <f t="shared" si="17"/>
        <v>8.5469855170090945</v>
      </c>
      <c r="K231" s="1">
        <f t="shared" si="18"/>
        <v>3046640000</v>
      </c>
      <c r="L231" s="17">
        <f t="shared" si="19"/>
        <v>8.5469855170090945</v>
      </c>
    </row>
    <row r="232" spans="1:12" x14ac:dyDescent="0.3">
      <c r="A232" s="1" t="s">
        <v>77</v>
      </c>
      <c r="B232" s="11">
        <v>2022</v>
      </c>
      <c r="C232" s="1" t="s">
        <v>88</v>
      </c>
      <c r="D232" s="2">
        <v>72000</v>
      </c>
      <c r="E232" s="2">
        <v>18908</v>
      </c>
      <c r="F232" s="2">
        <f t="shared" si="15"/>
        <v>1361376000</v>
      </c>
      <c r="G232" s="2">
        <v>371125000</v>
      </c>
      <c r="H232" s="2">
        <v>31720000</v>
      </c>
      <c r="I232" s="1">
        <f t="shared" si="16"/>
        <v>116356609.55203772</v>
      </c>
      <c r="J232" s="1">
        <f t="shared" si="17"/>
        <v>8.5469855170090945</v>
      </c>
      <c r="K232" s="1">
        <f t="shared" si="18"/>
        <v>3046640000</v>
      </c>
      <c r="L232" s="17">
        <f t="shared" si="19"/>
        <v>8.5469855170090945</v>
      </c>
    </row>
    <row r="233" spans="1:12" x14ac:dyDescent="0.3">
      <c r="A233" s="1" t="s">
        <v>77</v>
      </c>
      <c r="B233" s="11">
        <v>2022</v>
      </c>
      <c r="C233" s="1" t="s">
        <v>89</v>
      </c>
      <c r="D233" s="2">
        <v>83000</v>
      </c>
      <c r="E233" s="2">
        <v>19066</v>
      </c>
      <c r="F233" s="2">
        <f t="shared" si="15"/>
        <v>1582478000</v>
      </c>
      <c r="G233" s="2">
        <v>371125000</v>
      </c>
      <c r="H233" s="2">
        <v>31720000</v>
      </c>
      <c r="I233" s="1">
        <f t="shared" si="16"/>
        <v>135254165.46985519</v>
      </c>
      <c r="J233" s="1">
        <f t="shared" si="17"/>
        <v>8.5469855170090945</v>
      </c>
      <c r="K233" s="1">
        <f t="shared" si="18"/>
        <v>3046640000</v>
      </c>
      <c r="L233" s="17">
        <f t="shared" si="19"/>
        <v>8.5469855170090945</v>
      </c>
    </row>
    <row r="234" spans="1:12" x14ac:dyDescent="0.3">
      <c r="A234" s="1" t="s">
        <v>77</v>
      </c>
      <c r="B234" s="11">
        <v>2022</v>
      </c>
      <c r="C234" s="1" t="s">
        <v>90</v>
      </c>
      <c r="D234" s="2">
        <v>105000</v>
      </c>
      <c r="E234" s="2">
        <v>19080</v>
      </c>
      <c r="F234" s="2">
        <f t="shared" si="15"/>
        <v>2003400000</v>
      </c>
      <c r="G234" s="2">
        <v>371125000</v>
      </c>
      <c r="H234" s="2">
        <v>31720000</v>
      </c>
      <c r="I234" s="1">
        <f t="shared" si="16"/>
        <v>171230307.84776017</v>
      </c>
      <c r="J234" s="1">
        <f t="shared" si="17"/>
        <v>8.5469855170090927</v>
      </c>
      <c r="K234" s="1">
        <f t="shared" si="18"/>
        <v>3046640000</v>
      </c>
      <c r="L234" s="17">
        <f t="shared" si="19"/>
        <v>8.5469855170090945</v>
      </c>
    </row>
    <row r="235" spans="1:12" x14ac:dyDescent="0.3">
      <c r="A235" s="1" t="s">
        <v>77</v>
      </c>
      <c r="B235" s="11">
        <v>2023</v>
      </c>
      <c r="C235" s="1" t="s">
        <v>78</v>
      </c>
      <c r="D235" s="2">
        <v>8250</v>
      </c>
      <c r="E235" s="2">
        <v>19365</v>
      </c>
      <c r="F235" s="2">
        <f t="shared" si="15"/>
        <v>159761250</v>
      </c>
      <c r="G235" s="2">
        <v>1041499000</v>
      </c>
      <c r="H235" s="2">
        <v>117326000</v>
      </c>
      <c r="I235" s="1">
        <f t="shared" si="16"/>
        <v>17997279.32287981</v>
      </c>
      <c r="J235" s="1">
        <f t="shared" si="17"/>
        <v>11.265109231981979</v>
      </c>
      <c r="K235" s="1">
        <f t="shared" si="18"/>
        <v>3046640000</v>
      </c>
      <c r="L235" s="17">
        <f t="shared" si="19"/>
        <v>11.265109231981981</v>
      </c>
    </row>
    <row r="236" spans="1:12" x14ac:dyDescent="0.3">
      <c r="A236" s="1" t="s">
        <v>77</v>
      </c>
      <c r="B236" s="11">
        <v>2023</v>
      </c>
      <c r="C236" s="1" t="s">
        <v>79</v>
      </c>
      <c r="D236" s="2">
        <v>1800</v>
      </c>
      <c r="E236" s="2">
        <v>19582</v>
      </c>
      <c r="F236" s="2">
        <f t="shared" si="15"/>
        <v>35247600</v>
      </c>
      <c r="G236" s="2">
        <v>1041499000</v>
      </c>
      <c r="H236" s="2">
        <v>117326000</v>
      </c>
      <c r="I236" s="1">
        <f t="shared" si="16"/>
        <v>3970680.6416520802</v>
      </c>
      <c r="J236" s="1">
        <f t="shared" si="17"/>
        <v>11.265109231981979</v>
      </c>
      <c r="K236" s="1">
        <f t="shared" si="18"/>
        <v>3046640000</v>
      </c>
      <c r="L236" s="17">
        <f t="shared" si="19"/>
        <v>11.265109231981981</v>
      </c>
    </row>
    <row r="237" spans="1:12" x14ac:dyDescent="0.3">
      <c r="A237" s="1" t="s">
        <v>77</v>
      </c>
      <c r="B237" s="11">
        <v>2023</v>
      </c>
      <c r="C237" s="1" t="s">
        <v>80</v>
      </c>
      <c r="D237" s="2">
        <v>9100</v>
      </c>
      <c r="E237" s="2">
        <v>19582</v>
      </c>
      <c r="F237" s="2">
        <f t="shared" si="15"/>
        <v>178196200</v>
      </c>
      <c r="G237" s="2">
        <v>1041499000</v>
      </c>
      <c r="H237" s="2">
        <v>117326000</v>
      </c>
      <c r="I237" s="1">
        <f t="shared" si="16"/>
        <v>20073996.577241074</v>
      </c>
      <c r="J237" s="1">
        <f t="shared" si="17"/>
        <v>11.265109231981981</v>
      </c>
      <c r="K237" s="1">
        <f t="shared" si="18"/>
        <v>3046640000</v>
      </c>
      <c r="L237" s="17">
        <f t="shared" si="19"/>
        <v>11.265109231981981</v>
      </c>
    </row>
    <row r="238" spans="1:12" x14ac:dyDescent="0.3">
      <c r="A238" s="1" t="s">
        <v>77</v>
      </c>
      <c r="B238" s="11">
        <v>2023</v>
      </c>
      <c r="C238" s="1" t="s">
        <v>79</v>
      </c>
      <c r="D238" s="2">
        <v>1800</v>
      </c>
      <c r="E238" s="2">
        <v>19899</v>
      </c>
      <c r="F238" s="2">
        <f t="shared" si="15"/>
        <v>35818200</v>
      </c>
      <c r="G238" s="2">
        <v>1041499000</v>
      </c>
      <c r="H238" s="2">
        <v>117326000</v>
      </c>
      <c r="I238" s="1">
        <f t="shared" si="16"/>
        <v>4034959.3549297699</v>
      </c>
      <c r="J238" s="1">
        <f t="shared" si="17"/>
        <v>11.265109231981981</v>
      </c>
      <c r="K238" s="1">
        <f t="shared" si="18"/>
        <v>3046640000</v>
      </c>
      <c r="L238" s="17">
        <f t="shared" si="19"/>
        <v>11.265109231981981</v>
      </c>
    </row>
    <row r="239" spans="1:12" x14ac:dyDescent="0.3">
      <c r="A239" s="1" t="s">
        <v>77</v>
      </c>
      <c r="B239" s="11">
        <v>2023</v>
      </c>
      <c r="C239" s="1" t="s">
        <v>81</v>
      </c>
      <c r="D239" s="2">
        <v>11300</v>
      </c>
      <c r="E239" s="2">
        <v>19974</v>
      </c>
      <c r="F239" s="2">
        <f t="shared" si="15"/>
        <v>225706200</v>
      </c>
      <c r="G239" s="2">
        <v>1041499000</v>
      </c>
      <c r="H239" s="2">
        <v>117326000</v>
      </c>
      <c r="I239" s="1">
        <f t="shared" si="16"/>
        <v>25426049.973355714</v>
      </c>
      <c r="J239" s="1">
        <f t="shared" si="17"/>
        <v>11.265109231981981</v>
      </c>
      <c r="K239" s="1">
        <f t="shared" si="18"/>
        <v>3046640000</v>
      </c>
      <c r="L239" s="17">
        <f t="shared" si="19"/>
        <v>11.265109231981981</v>
      </c>
    </row>
    <row r="240" spans="1:12" x14ac:dyDescent="0.3">
      <c r="A240" s="1" t="s">
        <v>77</v>
      </c>
      <c r="B240" s="11">
        <v>2023</v>
      </c>
      <c r="C240" s="1" t="s">
        <v>79</v>
      </c>
      <c r="D240" s="2">
        <v>1800</v>
      </c>
      <c r="E240" s="2">
        <v>20133</v>
      </c>
      <c r="F240" s="2">
        <f t="shared" si="15"/>
        <v>36239400</v>
      </c>
      <c r="G240" s="2">
        <v>1041499000</v>
      </c>
      <c r="H240" s="2">
        <v>117326000</v>
      </c>
      <c r="I240" s="1">
        <f t="shared" si="16"/>
        <v>4082407.995014878</v>
      </c>
      <c r="J240" s="1">
        <f t="shared" si="17"/>
        <v>11.265109231981981</v>
      </c>
      <c r="K240" s="1">
        <f t="shared" si="18"/>
        <v>3046640000</v>
      </c>
      <c r="L240" s="17">
        <f t="shared" si="19"/>
        <v>11.265109231981981</v>
      </c>
    </row>
    <row r="241" spans="1:12" x14ac:dyDescent="0.3">
      <c r="A241" s="1" t="s">
        <v>77</v>
      </c>
      <c r="B241" s="11">
        <v>2023</v>
      </c>
      <c r="C241" s="1" t="s">
        <v>82</v>
      </c>
      <c r="D241" s="2">
        <v>17100</v>
      </c>
      <c r="E241" s="2">
        <v>20782</v>
      </c>
      <c r="F241" s="2">
        <f t="shared" si="15"/>
        <v>355372200</v>
      </c>
      <c r="G241" s="2">
        <v>1041499000</v>
      </c>
      <c r="H241" s="2">
        <v>117326000</v>
      </c>
      <c r="I241" s="1">
        <f t="shared" si="16"/>
        <v>40033066.510097466</v>
      </c>
      <c r="J241" s="1">
        <f t="shared" si="17"/>
        <v>11.265109231981981</v>
      </c>
      <c r="K241" s="1">
        <f t="shared" si="18"/>
        <v>3046640000</v>
      </c>
      <c r="L241" s="17">
        <f t="shared" si="19"/>
        <v>11.265109231981981</v>
      </c>
    </row>
    <row r="242" spans="1:12" x14ac:dyDescent="0.3">
      <c r="A242" s="1" t="s">
        <v>77</v>
      </c>
      <c r="B242" s="11">
        <v>2023</v>
      </c>
      <c r="C242" s="1" t="s">
        <v>79</v>
      </c>
      <c r="D242" s="2">
        <v>2800</v>
      </c>
      <c r="E242" s="2">
        <v>20795</v>
      </c>
      <c r="F242" s="2">
        <f t="shared" si="15"/>
        <v>58226000</v>
      </c>
      <c r="G242" s="2">
        <v>1041499000</v>
      </c>
      <c r="H242" s="2">
        <v>117326000</v>
      </c>
      <c r="I242" s="1">
        <f t="shared" si="16"/>
        <v>6559222.5014138278</v>
      </c>
      <c r="J242" s="1">
        <f t="shared" si="17"/>
        <v>11.265109231981981</v>
      </c>
      <c r="K242" s="1">
        <f t="shared" si="18"/>
        <v>3046640000</v>
      </c>
      <c r="L242" s="17">
        <f t="shared" si="19"/>
        <v>11.265109231981981</v>
      </c>
    </row>
    <row r="243" spans="1:12" x14ac:dyDescent="0.3">
      <c r="A243" s="1" t="s">
        <v>77</v>
      </c>
      <c r="B243" s="11">
        <v>2023</v>
      </c>
      <c r="C243" s="1" t="s">
        <v>83</v>
      </c>
      <c r="D243" s="2">
        <v>24000</v>
      </c>
      <c r="E243" s="2">
        <v>20795</v>
      </c>
      <c r="F243" s="2">
        <f t="shared" si="15"/>
        <v>499080000</v>
      </c>
      <c r="G243" s="2">
        <v>1041499000</v>
      </c>
      <c r="H243" s="2">
        <v>117326000</v>
      </c>
      <c r="I243" s="1">
        <f t="shared" si="16"/>
        <v>56221907.154975668</v>
      </c>
      <c r="J243" s="1">
        <f t="shared" si="17"/>
        <v>11.265109231981981</v>
      </c>
      <c r="K243" s="1">
        <f t="shared" si="18"/>
        <v>3046640000</v>
      </c>
      <c r="L243" s="17">
        <f t="shared" si="19"/>
        <v>11.265109231981981</v>
      </c>
    </row>
    <row r="244" spans="1:12" x14ac:dyDescent="0.3">
      <c r="A244" s="1" t="s">
        <v>77</v>
      </c>
      <c r="B244" s="11">
        <v>2023</v>
      </c>
      <c r="C244" s="1" t="s">
        <v>79</v>
      </c>
      <c r="D244" s="2">
        <v>2800</v>
      </c>
      <c r="E244" s="2">
        <v>20795</v>
      </c>
      <c r="F244" s="2">
        <f t="shared" si="15"/>
        <v>58226000</v>
      </c>
      <c r="G244" s="2">
        <v>1041499000</v>
      </c>
      <c r="H244" s="2">
        <v>117326000</v>
      </c>
      <c r="I244" s="1">
        <f t="shared" si="16"/>
        <v>6559222.5014138278</v>
      </c>
      <c r="J244" s="1">
        <f t="shared" si="17"/>
        <v>11.265109231981981</v>
      </c>
      <c r="K244" s="1">
        <f t="shared" si="18"/>
        <v>3046640000</v>
      </c>
      <c r="L244" s="17">
        <f t="shared" si="19"/>
        <v>11.265109231981981</v>
      </c>
    </row>
    <row r="245" spans="1:12" x14ac:dyDescent="0.3">
      <c r="A245" s="1" t="s">
        <v>77</v>
      </c>
      <c r="B245" s="11">
        <v>2023</v>
      </c>
      <c r="C245" s="1" t="s">
        <v>84</v>
      </c>
      <c r="D245" s="2">
        <v>13670</v>
      </c>
      <c r="E245" s="2">
        <v>20795</v>
      </c>
      <c r="F245" s="2">
        <f t="shared" si="15"/>
        <v>284267650</v>
      </c>
      <c r="G245" s="2">
        <v>1041499000</v>
      </c>
      <c r="H245" s="2">
        <v>117326000</v>
      </c>
      <c r="I245" s="1">
        <f t="shared" si="16"/>
        <v>32023061.283688221</v>
      </c>
      <c r="J245" s="1">
        <f t="shared" si="17"/>
        <v>11.265109231981979</v>
      </c>
      <c r="K245" s="1">
        <f t="shared" si="18"/>
        <v>3046640000</v>
      </c>
      <c r="L245" s="17">
        <f t="shared" si="19"/>
        <v>11.265109231981981</v>
      </c>
    </row>
    <row r="246" spans="1:12" x14ac:dyDescent="0.3">
      <c r="A246" s="1" t="s">
        <v>77</v>
      </c>
      <c r="B246" s="11">
        <v>2023</v>
      </c>
      <c r="C246" s="1" t="s">
        <v>79</v>
      </c>
      <c r="D246" s="2">
        <v>2800</v>
      </c>
      <c r="E246" s="2">
        <v>20882</v>
      </c>
      <c r="F246" s="2">
        <f t="shared" si="15"/>
        <v>58469600</v>
      </c>
      <c r="G246" s="2">
        <v>1041499000</v>
      </c>
      <c r="H246" s="2">
        <v>117326000</v>
      </c>
      <c r="I246" s="1">
        <f t="shared" si="16"/>
        <v>6586664.3075029356</v>
      </c>
      <c r="J246" s="1">
        <f t="shared" si="17"/>
        <v>11.265109231981981</v>
      </c>
      <c r="K246" s="1">
        <f t="shared" si="18"/>
        <v>3046640000</v>
      </c>
      <c r="L246" s="17">
        <f t="shared" si="19"/>
        <v>11.265109231981981</v>
      </c>
    </row>
    <row r="247" spans="1:12" x14ac:dyDescent="0.3">
      <c r="A247" s="1" t="s">
        <v>77</v>
      </c>
      <c r="B247" s="11">
        <v>2023</v>
      </c>
      <c r="C247" s="1" t="s">
        <v>85</v>
      </c>
      <c r="D247" s="2">
        <v>20800</v>
      </c>
      <c r="E247" s="2">
        <v>21486</v>
      </c>
      <c r="F247" s="2">
        <f t="shared" si="15"/>
        <v>446908800</v>
      </c>
      <c r="G247" s="2">
        <v>1041499000</v>
      </c>
      <c r="H247" s="2">
        <v>117326000</v>
      </c>
      <c r="I247" s="1">
        <f t="shared" si="16"/>
        <v>50344764.487339884</v>
      </c>
      <c r="J247" s="1">
        <f t="shared" si="17"/>
        <v>11.265109231981981</v>
      </c>
      <c r="K247" s="1">
        <f t="shared" si="18"/>
        <v>3046640000</v>
      </c>
      <c r="L247" s="17">
        <f t="shared" si="19"/>
        <v>11.265109231981981</v>
      </c>
    </row>
    <row r="248" spans="1:12" x14ac:dyDescent="0.3">
      <c r="A248" s="1" t="s">
        <v>77</v>
      </c>
      <c r="B248" s="11">
        <v>2023</v>
      </c>
      <c r="C248" s="1" t="s">
        <v>79</v>
      </c>
      <c r="D248" s="2">
        <v>2800</v>
      </c>
      <c r="E248" s="2">
        <v>21486</v>
      </c>
      <c r="F248" s="2">
        <f t="shared" si="15"/>
        <v>60160800</v>
      </c>
      <c r="G248" s="2">
        <v>1041499000</v>
      </c>
      <c r="H248" s="2">
        <v>117326000</v>
      </c>
      <c r="I248" s="1">
        <f t="shared" si="16"/>
        <v>6777179.8348342152</v>
      </c>
      <c r="J248" s="1">
        <f t="shared" si="17"/>
        <v>11.265109231981981</v>
      </c>
      <c r="K248" s="1">
        <f t="shared" si="18"/>
        <v>3046640000</v>
      </c>
      <c r="L248" s="17">
        <f t="shared" si="19"/>
        <v>11.265109231981981</v>
      </c>
    </row>
    <row r="249" spans="1:12" x14ac:dyDescent="0.3">
      <c r="A249" s="1" t="s">
        <v>77</v>
      </c>
      <c r="B249" s="11">
        <v>2023</v>
      </c>
      <c r="C249" s="1" t="s">
        <v>86</v>
      </c>
      <c r="D249" s="2">
        <v>8100</v>
      </c>
      <c r="E249" s="2">
        <v>21806</v>
      </c>
      <c r="F249" s="2">
        <f t="shared" si="15"/>
        <v>176628600</v>
      </c>
      <c r="G249" s="2">
        <v>1041499000</v>
      </c>
      <c r="H249" s="2">
        <v>117326000</v>
      </c>
      <c r="I249" s="1">
        <f t="shared" si="16"/>
        <v>19897404.724920522</v>
      </c>
      <c r="J249" s="1">
        <f t="shared" si="17"/>
        <v>11.265109231981979</v>
      </c>
      <c r="K249" s="1">
        <f t="shared" si="18"/>
        <v>3046640000</v>
      </c>
      <c r="L249" s="17">
        <f t="shared" si="19"/>
        <v>11.265109231981981</v>
      </c>
    </row>
    <row r="250" spans="1:12" x14ac:dyDescent="0.3">
      <c r="A250" s="1" t="s">
        <v>77</v>
      </c>
      <c r="B250" s="11">
        <v>2023</v>
      </c>
      <c r="C250" s="1" t="s">
        <v>79</v>
      </c>
      <c r="D250" s="2">
        <v>1800</v>
      </c>
      <c r="E250" s="2">
        <v>22437</v>
      </c>
      <c r="F250" s="2">
        <f t="shared" si="15"/>
        <v>40386600</v>
      </c>
      <c r="G250" s="2">
        <v>1041499000</v>
      </c>
      <c r="H250" s="2">
        <v>117326000</v>
      </c>
      <c r="I250" s="1">
        <f t="shared" si="16"/>
        <v>4549594.6050836341</v>
      </c>
      <c r="J250" s="1">
        <f t="shared" si="17"/>
        <v>11.265109231981979</v>
      </c>
      <c r="K250" s="1">
        <f t="shared" si="18"/>
        <v>3046640000</v>
      </c>
      <c r="L250" s="17">
        <f t="shared" si="19"/>
        <v>11.265109231981981</v>
      </c>
    </row>
    <row r="251" spans="1:12" x14ac:dyDescent="0.3">
      <c r="A251" s="1" t="s">
        <v>77</v>
      </c>
      <c r="B251" s="11">
        <v>2023</v>
      </c>
      <c r="C251" s="1" t="s">
        <v>87</v>
      </c>
      <c r="D251" s="2">
        <v>250</v>
      </c>
      <c r="E251" s="2">
        <v>22698</v>
      </c>
      <c r="F251" s="2">
        <f t="shared" si="15"/>
        <v>5674500</v>
      </c>
      <c r="G251" s="2">
        <v>1041499000</v>
      </c>
      <c r="H251" s="2">
        <v>117326000</v>
      </c>
      <c r="I251" s="1">
        <f t="shared" si="16"/>
        <v>639238.6233688175</v>
      </c>
      <c r="J251" s="1">
        <f t="shared" si="17"/>
        <v>11.265109231981981</v>
      </c>
      <c r="K251" s="1">
        <f t="shared" si="18"/>
        <v>3046640000</v>
      </c>
      <c r="L251" s="17">
        <f t="shared" si="19"/>
        <v>11.265109231981981</v>
      </c>
    </row>
    <row r="252" spans="1:12" x14ac:dyDescent="0.3">
      <c r="A252" s="1" t="s">
        <v>77</v>
      </c>
      <c r="B252" s="11">
        <v>2023</v>
      </c>
      <c r="C252" s="1" t="s">
        <v>88</v>
      </c>
      <c r="D252" s="2">
        <v>72000</v>
      </c>
      <c r="E252" s="2">
        <v>22714</v>
      </c>
      <c r="F252" s="2">
        <f t="shared" si="15"/>
        <v>1635408000</v>
      </c>
      <c r="G252" s="2">
        <v>1041499000</v>
      </c>
      <c r="H252" s="2">
        <v>117326000</v>
      </c>
      <c r="I252" s="1">
        <f t="shared" si="16"/>
        <v>184230497.58857185</v>
      </c>
      <c r="J252" s="1">
        <f t="shared" si="17"/>
        <v>11.265109231981979</v>
      </c>
      <c r="K252" s="1">
        <f t="shared" si="18"/>
        <v>3046640000</v>
      </c>
      <c r="L252" s="17">
        <f t="shared" si="19"/>
        <v>11.265109231981981</v>
      </c>
    </row>
    <row r="253" spans="1:12" x14ac:dyDescent="0.3">
      <c r="A253" s="1" t="s">
        <v>77</v>
      </c>
      <c r="B253" s="11">
        <v>2023</v>
      </c>
      <c r="C253" s="1" t="s">
        <v>89</v>
      </c>
      <c r="D253" s="2">
        <v>83000</v>
      </c>
      <c r="E253" s="2">
        <v>22819</v>
      </c>
      <c r="F253" s="2">
        <f t="shared" si="15"/>
        <v>1893977000</v>
      </c>
      <c r="G253" s="2">
        <v>1041499000</v>
      </c>
      <c r="H253" s="2">
        <v>117326000</v>
      </c>
      <c r="I253" s="1">
        <f t="shared" si="16"/>
        <v>213358577.87861535</v>
      </c>
      <c r="J253" s="1">
        <f t="shared" si="17"/>
        <v>11.265109231981981</v>
      </c>
      <c r="K253" s="1">
        <f t="shared" si="18"/>
        <v>3046640000</v>
      </c>
      <c r="L253" s="17">
        <f t="shared" si="19"/>
        <v>11.265109231981981</v>
      </c>
    </row>
    <row r="254" spans="1:12" x14ac:dyDescent="0.3">
      <c r="A254" s="1" t="s">
        <v>77</v>
      </c>
      <c r="B254" s="11">
        <v>2023</v>
      </c>
      <c r="C254" s="1" t="s">
        <v>90</v>
      </c>
      <c r="D254" s="2">
        <v>105000</v>
      </c>
      <c r="E254" s="2">
        <v>22851</v>
      </c>
      <c r="F254" s="2">
        <f t="shared" si="15"/>
        <v>2399355000</v>
      </c>
      <c r="G254" s="2">
        <v>1041499000</v>
      </c>
      <c r="H254" s="2">
        <v>117326000</v>
      </c>
      <c r="I254" s="1">
        <f t="shared" si="16"/>
        <v>270289961.61302125</v>
      </c>
      <c r="J254" s="1">
        <f t="shared" si="17"/>
        <v>11.265109231981981</v>
      </c>
      <c r="K254" s="1">
        <f t="shared" si="18"/>
        <v>3046640000</v>
      </c>
      <c r="L254" s="17">
        <f t="shared" si="19"/>
        <v>11.265109231981981</v>
      </c>
    </row>
    <row r="255" spans="1:12" x14ac:dyDescent="0.3">
      <c r="A255" s="1" t="s">
        <v>77</v>
      </c>
      <c r="B255" s="11">
        <v>2024</v>
      </c>
      <c r="C255" s="1" t="s">
        <v>78</v>
      </c>
      <c r="D255" s="2">
        <v>8250</v>
      </c>
      <c r="E255" s="2">
        <v>23270</v>
      </c>
      <c r="F255" s="2">
        <f t="shared" si="15"/>
        <v>191977500</v>
      </c>
      <c r="G255" s="2">
        <v>748638000</v>
      </c>
      <c r="H255" s="2">
        <v>3286000</v>
      </c>
      <c r="I255" s="1">
        <f t="shared" si="16"/>
        <v>842647.66816538828</v>
      </c>
      <c r="J255" s="1">
        <f t="shared" si="17"/>
        <v>0.43893043099602208</v>
      </c>
      <c r="K255" s="1">
        <f t="shared" si="18"/>
        <v>3046640000</v>
      </c>
      <c r="L255" s="17">
        <f t="shared" si="19"/>
        <v>0.43893043099602208</v>
      </c>
    </row>
    <row r="256" spans="1:12" x14ac:dyDescent="0.3">
      <c r="A256" s="1" t="s">
        <v>77</v>
      </c>
      <c r="B256" s="11">
        <v>2024</v>
      </c>
      <c r="C256" s="1" t="s">
        <v>79</v>
      </c>
      <c r="D256" s="2">
        <v>1800</v>
      </c>
      <c r="E256" s="2">
        <v>23568</v>
      </c>
      <c r="F256" s="2">
        <f t="shared" si="15"/>
        <v>42422400</v>
      </c>
      <c r="G256" s="2">
        <v>748638000</v>
      </c>
      <c r="H256" s="2">
        <v>3286000</v>
      </c>
      <c r="I256" s="1">
        <f t="shared" si="16"/>
        <v>186204.82315885648</v>
      </c>
      <c r="J256" s="1">
        <f t="shared" si="17"/>
        <v>0.43893043099602208</v>
      </c>
      <c r="K256" s="1">
        <f t="shared" si="18"/>
        <v>3046640000</v>
      </c>
      <c r="L256" s="17">
        <f t="shared" si="19"/>
        <v>0.43893043099602208</v>
      </c>
    </row>
    <row r="257" spans="1:12" x14ac:dyDescent="0.3">
      <c r="A257" s="1" t="s">
        <v>77</v>
      </c>
      <c r="B257" s="11">
        <v>2024</v>
      </c>
      <c r="C257" s="1" t="s">
        <v>80</v>
      </c>
      <c r="D257" s="2">
        <v>9100</v>
      </c>
      <c r="E257" s="2">
        <v>23746</v>
      </c>
      <c r="F257" s="2">
        <f t="shared" si="15"/>
        <v>216088600</v>
      </c>
      <c r="G257" s="2">
        <v>748638000</v>
      </c>
      <c r="H257" s="2">
        <v>3286000</v>
      </c>
      <c r="I257" s="1">
        <f t="shared" si="16"/>
        <v>948478.62331327016</v>
      </c>
      <c r="J257" s="1">
        <f t="shared" si="17"/>
        <v>0.43893043099602208</v>
      </c>
      <c r="K257" s="1">
        <f t="shared" si="18"/>
        <v>3046640000</v>
      </c>
      <c r="L257" s="17">
        <f t="shared" si="19"/>
        <v>0.43893043099602208</v>
      </c>
    </row>
    <row r="258" spans="1:12" x14ac:dyDescent="0.3">
      <c r="A258" s="1" t="s">
        <v>77</v>
      </c>
      <c r="B258" s="11">
        <v>2024</v>
      </c>
      <c r="C258" s="1" t="s">
        <v>79</v>
      </c>
      <c r="D258" s="2">
        <v>1800</v>
      </c>
      <c r="E258" s="2">
        <v>23890</v>
      </c>
      <c r="F258" s="2">
        <f t="shared" ref="F258:F321" si="20">E258*D258</f>
        <v>43002000</v>
      </c>
      <c r="G258" s="2">
        <v>748638000</v>
      </c>
      <c r="H258" s="2">
        <v>3286000</v>
      </c>
      <c r="I258" s="1">
        <f t="shared" si="16"/>
        <v>188748.86393690945</v>
      </c>
      <c r="J258" s="1">
        <f t="shared" si="17"/>
        <v>0.43893043099602219</v>
      </c>
      <c r="K258" s="1">
        <f t="shared" si="18"/>
        <v>3046640000</v>
      </c>
      <c r="L258" s="17">
        <f t="shared" si="19"/>
        <v>0.43893043099602208</v>
      </c>
    </row>
    <row r="259" spans="1:12" x14ac:dyDescent="0.3">
      <c r="A259" s="1" t="s">
        <v>77</v>
      </c>
      <c r="B259" s="11">
        <v>2024</v>
      </c>
      <c r="C259" s="1" t="s">
        <v>81</v>
      </c>
      <c r="D259" s="2">
        <v>11300</v>
      </c>
      <c r="E259" s="2">
        <v>24064</v>
      </c>
      <c r="F259" s="2">
        <f t="shared" si="20"/>
        <v>271923200</v>
      </c>
      <c r="G259" s="2">
        <v>748638000</v>
      </c>
      <c r="H259" s="2">
        <v>3286000</v>
      </c>
      <c r="I259" s="1">
        <f t="shared" ref="I259:I322" si="21">IF(F259&gt;0,H259*(F259/G259),0)</f>
        <v>1193553.6737381751</v>
      </c>
      <c r="J259" s="1">
        <f t="shared" ref="J259:J322" si="22">IF(F259&gt;0,I259/F259*100,0)</f>
        <v>0.43893043099602208</v>
      </c>
      <c r="K259" s="1">
        <f t="shared" ref="K259:K322" si="23">SUMIF(A:A,A259,H:H)</f>
        <v>3046640000</v>
      </c>
      <c r="L259" s="17">
        <f t="shared" ref="L259:L322" si="24">IF(G259&gt;0,H259/G259*100,0)</f>
        <v>0.43893043099602208</v>
      </c>
    </row>
    <row r="260" spans="1:12" x14ac:dyDescent="0.3">
      <c r="A260" s="1" t="s">
        <v>77</v>
      </c>
      <c r="B260" s="11">
        <v>2024</v>
      </c>
      <c r="C260" s="1" t="s">
        <v>79</v>
      </c>
      <c r="D260" s="2">
        <v>1800</v>
      </c>
      <c r="E260" s="2">
        <v>24064</v>
      </c>
      <c r="F260" s="2">
        <f t="shared" si="20"/>
        <v>43315200</v>
      </c>
      <c r="G260" s="2">
        <v>748638000</v>
      </c>
      <c r="H260" s="2">
        <v>3286000</v>
      </c>
      <c r="I260" s="1">
        <f t="shared" si="21"/>
        <v>190123.59404678896</v>
      </c>
      <c r="J260" s="1">
        <f t="shared" si="22"/>
        <v>0.43893043099602208</v>
      </c>
      <c r="K260" s="1">
        <f t="shared" si="23"/>
        <v>3046640000</v>
      </c>
      <c r="L260" s="17">
        <f t="shared" si="24"/>
        <v>0.43893043099602208</v>
      </c>
    </row>
    <row r="261" spans="1:12" x14ac:dyDescent="0.3">
      <c r="A261" s="1" t="s">
        <v>77</v>
      </c>
      <c r="B261" s="11">
        <v>2024</v>
      </c>
      <c r="C261" s="1" t="s">
        <v>82</v>
      </c>
      <c r="D261" s="2">
        <v>17100</v>
      </c>
      <c r="E261" s="2">
        <v>24065</v>
      </c>
      <c r="F261" s="2">
        <f t="shared" si="20"/>
        <v>411511500</v>
      </c>
      <c r="G261" s="2">
        <v>748638000</v>
      </c>
      <c r="H261" s="2">
        <v>3286000</v>
      </c>
      <c r="I261" s="1">
        <f t="shared" si="21"/>
        <v>1806249.2005481955</v>
      </c>
      <c r="J261" s="1">
        <f t="shared" si="22"/>
        <v>0.43893043099602208</v>
      </c>
      <c r="K261" s="1">
        <f t="shared" si="23"/>
        <v>3046640000</v>
      </c>
      <c r="L261" s="17">
        <f t="shared" si="24"/>
        <v>0.43893043099602208</v>
      </c>
    </row>
    <row r="262" spans="1:12" x14ac:dyDescent="0.3">
      <c r="A262" s="1" t="s">
        <v>77</v>
      </c>
      <c r="B262" s="11">
        <v>2024</v>
      </c>
      <c r="C262" s="1" t="s">
        <v>79</v>
      </c>
      <c r="D262" s="2">
        <v>2800</v>
      </c>
      <c r="E262" s="2">
        <v>24099</v>
      </c>
      <c r="F262" s="2">
        <f t="shared" si="20"/>
        <v>67477200</v>
      </c>
      <c r="G262" s="2">
        <v>748638000</v>
      </c>
      <c r="H262" s="2">
        <v>3286000</v>
      </c>
      <c r="I262" s="1">
        <f t="shared" si="21"/>
        <v>296177.96478404786</v>
      </c>
      <c r="J262" s="1">
        <f t="shared" si="22"/>
        <v>0.43893043099602219</v>
      </c>
      <c r="K262" s="1">
        <f t="shared" si="23"/>
        <v>3046640000</v>
      </c>
      <c r="L262" s="17">
        <f t="shared" si="24"/>
        <v>0.43893043099602208</v>
      </c>
    </row>
    <row r="263" spans="1:12" x14ac:dyDescent="0.3">
      <c r="A263" s="1" t="s">
        <v>77</v>
      </c>
      <c r="B263" s="11">
        <v>2024</v>
      </c>
      <c r="C263" s="1" t="s">
        <v>83</v>
      </c>
      <c r="D263" s="2">
        <v>24000</v>
      </c>
      <c r="E263" s="2">
        <v>24509</v>
      </c>
      <c r="F263" s="2">
        <f t="shared" si="20"/>
        <v>588216000</v>
      </c>
      <c r="G263" s="2">
        <v>748638000</v>
      </c>
      <c r="H263" s="2">
        <v>3286000</v>
      </c>
      <c r="I263" s="1">
        <f t="shared" si="21"/>
        <v>2581859.0239875615</v>
      </c>
      <c r="J263" s="1">
        <f t="shared" si="22"/>
        <v>0.43893043099602208</v>
      </c>
      <c r="K263" s="1">
        <f t="shared" si="23"/>
        <v>3046640000</v>
      </c>
      <c r="L263" s="17">
        <f t="shared" si="24"/>
        <v>0.43893043099602208</v>
      </c>
    </row>
    <row r="264" spans="1:12" x14ac:dyDescent="0.3">
      <c r="A264" s="1" t="s">
        <v>77</v>
      </c>
      <c r="B264" s="11">
        <v>2024</v>
      </c>
      <c r="C264" s="1" t="s">
        <v>79</v>
      </c>
      <c r="D264" s="2">
        <v>2800</v>
      </c>
      <c r="E264" s="2">
        <v>25440</v>
      </c>
      <c r="F264" s="2">
        <f t="shared" si="20"/>
        <v>71232000</v>
      </c>
      <c r="G264" s="2">
        <v>748638000</v>
      </c>
      <c r="H264" s="2">
        <v>3286000</v>
      </c>
      <c r="I264" s="1">
        <f t="shared" si="21"/>
        <v>312658.92460708646</v>
      </c>
      <c r="J264" s="1">
        <f t="shared" si="22"/>
        <v>0.43893043099602208</v>
      </c>
      <c r="K264" s="1">
        <f t="shared" si="23"/>
        <v>3046640000</v>
      </c>
      <c r="L264" s="17">
        <f t="shared" si="24"/>
        <v>0.43893043099602208</v>
      </c>
    </row>
    <row r="265" spans="1:12" x14ac:dyDescent="0.3">
      <c r="A265" s="1" t="s">
        <v>77</v>
      </c>
      <c r="B265" s="11">
        <v>2024</v>
      </c>
      <c r="C265" s="1" t="s">
        <v>84</v>
      </c>
      <c r="D265" s="2">
        <v>13670</v>
      </c>
      <c r="E265" s="2">
        <v>25624</v>
      </c>
      <c r="F265" s="2">
        <f t="shared" si="20"/>
        <v>350280080</v>
      </c>
      <c r="G265" s="2">
        <v>748638000</v>
      </c>
      <c r="H265" s="2">
        <v>3286000</v>
      </c>
      <c r="I265" s="1">
        <f t="shared" si="21"/>
        <v>1537485.8648372111</v>
      </c>
      <c r="J265" s="1">
        <f t="shared" si="22"/>
        <v>0.43893043099602208</v>
      </c>
      <c r="K265" s="1">
        <f t="shared" si="23"/>
        <v>3046640000</v>
      </c>
      <c r="L265" s="17">
        <f t="shared" si="24"/>
        <v>0.43893043099602208</v>
      </c>
    </row>
    <row r="266" spans="1:12" x14ac:dyDescent="0.3">
      <c r="A266" s="1" t="s">
        <v>77</v>
      </c>
      <c r="B266" s="11">
        <v>2024</v>
      </c>
      <c r="C266" s="1" t="s">
        <v>79</v>
      </c>
      <c r="D266" s="2">
        <v>2800</v>
      </c>
      <c r="E266" s="2">
        <v>25783</v>
      </c>
      <c r="F266" s="2">
        <f t="shared" si="20"/>
        <v>72192400</v>
      </c>
      <c r="G266" s="2">
        <v>748638000</v>
      </c>
      <c r="H266" s="2">
        <v>3286000</v>
      </c>
      <c r="I266" s="1">
        <f t="shared" si="21"/>
        <v>316874.41246637225</v>
      </c>
      <c r="J266" s="1">
        <f t="shared" si="22"/>
        <v>0.43893043099602208</v>
      </c>
      <c r="K266" s="1">
        <f t="shared" si="23"/>
        <v>3046640000</v>
      </c>
      <c r="L266" s="17">
        <f t="shared" si="24"/>
        <v>0.43893043099602208</v>
      </c>
    </row>
    <row r="267" spans="1:12" x14ac:dyDescent="0.3">
      <c r="A267" s="1" t="s">
        <v>77</v>
      </c>
      <c r="B267" s="11">
        <v>2024</v>
      </c>
      <c r="C267" s="1" t="s">
        <v>85</v>
      </c>
      <c r="D267" s="2">
        <v>20800</v>
      </c>
      <c r="E267" s="2">
        <v>26279</v>
      </c>
      <c r="F267" s="2">
        <f t="shared" si="20"/>
        <v>546603200</v>
      </c>
      <c r="G267" s="2">
        <v>748638000</v>
      </c>
      <c r="H267" s="2">
        <v>3286000</v>
      </c>
      <c r="I267" s="1">
        <f t="shared" si="21"/>
        <v>2399207.7815980488</v>
      </c>
      <c r="J267" s="1">
        <f t="shared" si="22"/>
        <v>0.43893043099602208</v>
      </c>
      <c r="K267" s="1">
        <f t="shared" si="23"/>
        <v>3046640000</v>
      </c>
      <c r="L267" s="17">
        <f t="shared" si="24"/>
        <v>0.43893043099602208</v>
      </c>
    </row>
    <row r="268" spans="1:12" x14ac:dyDescent="0.3">
      <c r="A268" s="1" t="s">
        <v>77</v>
      </c>
      <c r="B268" s="11">
        <v>2024</v>
      </c>
      <c r="C268" s="1" t="s">
        <v>79</v>
      </c>
      <c r="D268" s="2">
        <v>2800</v>
      </c>
      <c r="E268" s="2">
        <v>27502</v>
      </c>
      <c r="F268" s="2">
        <f t="shared" si="20"/>
        <v>77005600</v>
      </c>
      <c r="G268" s="2">
        <v>748638000</v>
      </c>
      <c r="H268" s="2">
        <v>3286000</v>
      </c>
      <c r="I268" s="1">
        <f t="shared" si="21"/>
        <v>338001.01197107282</v>
      </c>
      <c r="J268" s="1">
        <f t="shared" si="22"/>
        <v>0.43893043099602219</v>
      </c>
      <c r="K268" s="1">
        <f t="shared" si="23"/>
        <v>3046640000</v>
      </c>
      <c r="L268" s="17">
        <f t="shared" si="24"/>
        <v>0.43893043099602208</v>
      </c>
    </row>
    <row r="269" spans="1:12" x14ac:dyDescent="0.3">
      <c r="A269" s="1" t="s">
        <v>77</v>
      </c>
      <c r="B269" s="11">
        <v>2024</v>
      </c>
      <c r="C269" s="1" t="s">
        <v>86</v>
      </c>
      <c r="D269" s="2">
        <v>8100</v>
      </c>
      <c r="E269" s="2">
        <v>27541</v>
      </c>
      <c r="F269" s="2">
        <f t="shared" si="20"/>
        <v>223082100</v>
      </c>
      <c r="G269" s="2">
        <v>748638000</v>
      </c>
      <c r="H269" s="2">
        <v>3286000</v>
      </c>
      <c r="I269" s="1">
        <f t="shared" si="21"/>
        <v>979175.22300497699</v>
      </c>
      <c r="J269" s="1">
        <f t="shared" si="22"/>
        <v>0.43893043099602208</v>
      </c>
      <c r="K269" s="1">
        <f t="shared" si="23"/>
        <v>3046640000</v>
      </c>
      <c r="L269" s="17">
        <f t="shared" si="24"/>
        <v>0.43893043099602208</v>
      </c>
    </row>
    <row r="270" spans="1:12" x14ac:dyDescent="0.3">
      <c r="A270" s="1" t="s">
        <v>77</v>
      </c>
      <c r="B270" s="11">
        <v>2024</v>
      </c>
      <c r="C270" s="1" t="s">
        <v>79</v>
      </c>
      <c r="D270" s="2">
        <v>1800</v>
      </c>
      <c r="E270" s="2">
        <v>27662</v>
      </c>
      <c r="F270" s="2">
        <f t="shared" si="20"/>
        <v>49791600</v>
      </c>
      <c r="G270" s="2">
        <v>748638000</v>
      </c>
      <c r="H270" s="2">
        <v>3286000</v>
      </c>
      <c r="I270" s="1">
        <f t="shared" si="21"/>
        <v>218550.48447981535</v>
      </c>
      <c r="J270" s="1">
        <f t="shared" si="22"/>
        <v>0.43893043099602208</v>
      </c>
      <c r="K270" s="1">
        <f t="shared" si="23"/>
        <v>3046640000</v>
      </c>
      <c r="L270" s="17">
        <f t="shared" si="24"/>
        <v>0.43893043099602208</v>
      </c>
    </row>
    <row r="271" spans="1:12" x14ac:dyDescent="0.3">
      <c r="A271" s="1" t="s">
        <v>77</v>
      </c>
      <c r="B271" s="11">
        <v>2024</v>
      </c>
      <c r="C271" s="1" t="s">
        <v>87</v>
      </c>
      <c r="D271" s="2">
        <v>250</v>
      </c>
      <c r="E271" s="2">
        <v>27828</v>
      </c>
      <c r="F271" s="2">
        <f t="shared" si="20"/>
        <v>6957000</v>
      </c>
      <c r="G271" s="2">
        <v>748638000</v>
      </c>
      <c r="H271" s="2">
        <v>3286000</v>
      </c>
      <c r="I271" s="1">
        <f t="shared" si="21"/>
        <v>30536.390084393257</v>
      </c>
      <c r="J271" s="1">
        <f t="shared" si="22"/>
        <v>0.43893043099602208</v>
      </c>
      <c r="K271" s="1">
        <f t="shared" si="23"/>
        <v>3046640000</v>
      </c>
      <c r="L271" s="17">
        <f t="shared" si="24"/>
        <v>0.43893043099602208</v>
      </c>
    </row>
    <row r="272" spans="1:12" x14ac:dyDescent="0.3">
      <c r="A272" s="1" t="s">
        <v>77</v>
      </c>
      <c r="B272" s="11">
        <v>2024</v>
      </c>
      <c r="C272" s="1" t="s">
        <v>88</v>
      </c>
      <c r="D272" s="2">
        <v>72000</v>
      </c>
      <c r="E272" s="2">
        <v>28186</v>
      </c>
      <c r="F272" s="2">
        <f t="shared" si="20"/>
        <v>2029392000</v>
      </c>
      <c r="G272" s="2">
        <v>748638000</v>
      </c>
      <c r="H272" s="2">
        <v>3286000</v>
      </c>
      <c r="I272" s="1">
        <f t="shared" si="21"/>
        <v>8907619.0521987919</v>
      </c>
      <c r="J272" s="1">
        <f t="shared" si="22"/>
        <v>0.43893043099602208</v>
      </c>
      <c r="K272" s="1">
        <f t="shared" si="23"/>
        <v>3046640000</v>
      </c>
      <c r="L272" s="17">
        <f t="shared" si="24"/>
        <v>0.43893043099602208</v>
      </c>
    </row>
    <row r="273" spans="1:12" x14ac:dyDescent="0.3">
      <c r="A273" s="1" t="s">
        <v>77</v>
      </c>
      <c r="B273" s="11">
        <v>2024</v>
      </c>
      <c r="C273" s="1" t="s">
        <v>89</v>
      </c>
      <c r="D273" s="2">
        <v>83000</v>
      </c>
      <c r="E273" s="2">
        <v>28519</v>
      </c>
      <c r="F273" s="2">
        <f t="shared" si="20"/>
        <v>2367077000</v>
      </c>
      <c r="G273" s="2">
        <v>748638000</v>
      </c>
      <c r="H273" s="2">
        <v>3286000</v>
      </c>
      <c r="I273" s="1">
        <f t="shared" si="21"/>
        <v>10389821.27810771</v>
      </c>
      <c r="J273" s="1">
        <f t="shared" si="22"/>
        <v>0.43893043099602208</v>
      </c>
      <c r="K273" s="1">
        <f t="shared" si="23"/>
        <v>3046640000</v>
      </c>
      <c r="L273" s="17">
        <f t="shared" si="24"/>
        <v>0.43893043099602208</v>
      </c>
    </row>
    <row r="274" spans="1:12" x14ac:dyDescent="0.3">
      <c r="A274" s="1" t="s">
        <v>77</v>
      </c>
      <c r="B274" s="11">
        <v>2024</v>
      </c>
      <c r="C274" s="1" t="s">
        <v>90</v>
      </c>
      <c r="D274" s="2">
        <v>105000</v>
      </c>
      <c r="E274" s="2">
        <v>28749</v>
      </c>
      <c r="F274" s="2">
        <f t="shared" si="20"/>
        <v>3018645000</v>
      </c>
      <c r="G274" s="2">
        <v>748638000</v>
      </c>
      <c r="H274" s="2">
        <v>3286000</v>
      </c>
      <c r="I274" s="1">
        <f t="shared" si="21"/>
        <v>13249751.508739872</v>
      </c>
      <c r="J274" s="1">
        <f t="shared" si="22"/>
        <v>0.43893043099602208</v>
      </c>
      <c r="K274" s="1">
        <f t="shared" si="23"/>
        <v>3046640000</v>
      </c>
      <c r="L274" s="17">
        <f t="shared" si="24"/>
        <v>0.43893043099602208</v>
      </c>
    </row>
    <row r="275" spans="1:12" x14ac:dyDescent="0.3">
      <c r="A275" s="1" t="s">
        <v>91</v>
      </c>
      <c r="B275" s="11">
        <v>2022</v>
      </c>
      <c r="C275" s="1" t="s">
        <v>92</v>
      </c>
      <c r="D275" s="2">
        <v>950</v>
      </c>
      <c r="E275" s="2">
        <v>28930</v>
      </c>
      <c r="F275" s="2">
        <f t="shared" si="20"/>
        <v>27483500</v>
      </c>
      <c r="G275" s="2">
        <v>893513000</v>
      </c>
      <c r="H275" s="2">
        <v>324784000</v>
      </c>
      <c r="I275" s="1">
        <f t="shared" si="21"/>
        <v>9990006.9321878925</v>
      </c>
      <c r="J275" s="1">
        <f t="shared" si="22"/>
        <v>36.349107399668497</v>
      </c>
      <c r="K275" s="1">
        <f t="shared" si="23"/>
        <v>7540775000</v>
      </c>
      <c r="L275" s="17">
        <f t="shared" si="24"/>
        <v>36.349107399668497</v>
      </c>
    </row>
    <row r="276" spans="1:12" x14ac:dyDescent="0.3">
      <c r="A276" s="1" t="s">
        <v>91</v>
      </c>
      <c r="B276" s="11">
        <v>2022</v>
      </c>
      <c r="C276" s="1" t="s">
        <v>93</v>
      </c>
      <c r="D276" s="2">
        <v>1100</v>
      </c>
      <c r="E276" s="2">
        <v>28930</v>
      </c>
      <c r="F276" s="2">
        <f t="shared" si="20"/>
        <v>31823000</v>
      </c>
      <c r="G276" s="2">
        <v>893513000</v>
      </c>
      <c r="H276" s="2">
        <v>324784000</v>
      </c>
      <c r="I276" s="1">
        <f t="shared" si="21"/>
        <v>11567376.447796507</v>
      </c>
      <c r="J276" s="1">
        <f t="shared" si="22"/>
        <v>36.349107399668497</v>
      </c>
      <c r="K276" s="1">
        <f t="shared" si="23"/>
        <v>7540775000</v>
      </c>
      <c r="L276" s="17">
        <f t="shared" si="24"/>
        <v>36.349107399668497</v>
      </c>
    </row>
    <row r="277" spans="1:12" x14ac:dyDescent="0.3">
      <c r="A277" s="1" t="s">
        <v>91</v>
      </c>
      <c r="B277" s="11">
        <v>2022</v>
      </c>
      <c r="C277" s="1" t="s">
        <v>94</v>
      </c>
      <c r="D277" s="2">
        <v>1250</v>
      </c>
      <c r="E277" s="2">
        <v>28930</v>
      </c>
      <c r="F277" s="2">
        <f t="shared" si="20"/>
        <v>36162500</v>
      </c>
      <c r="G277" s="2">
        <v>893513000</v>
      </c>
      <c r="H277" s="2">
        <v>324784000</v>
      </c>
      <c r="I277" s="1">
        <f t="shared" si="21"/>
        <v>13144745.963405123</v>
      </c>
      <c r="J277" s="1">
        <f t="shared" si="22"/>
        <v>36.349107399668505</v>
      </c>
      <c r="K277" s="1">
        <f t="shared" si="23"/>
        <v>7540775000</v>
      </c>
      <c r="L277" s="17">
        <f t="shared" si="24"/>
        <v>36.349107399668497</v>
      </c>
    </row>
    <row r="278" spans="1:12" x14ac:dyDescent="0.3">
      <c r="A278" s="1" t="s">
        <v>91</v>
      </c>
      <c r="B278" s="11">
        <v>2022</v>
      </c>
      <c r="C278" s="1" t="s">
        <v>95</v>
      </c>
      <c r="D278" s="2">
        <v>1300</v>
      </c>
      <c r="E278" s="2">
        <v>28930</v>
      </c>
      <c r="F278" s="2">
        <f t="shared" si="20"/>
        <v>37609000</v>
      </c>
      <c r="G278" s="2">
        <v>893513000</v>
      </c>
      <c r="H278" s="2">
        <v>324784000</v>
      </c>
      <c r="I278" s="1">
        <f t="shared" si="21"/>
        <v>13670535.801941326</v>
      </c>
      <c r="J278" s="1">
        <f t="shared" si="22"/>
        <v>36.349107399668497</v>
      </c>
      <c r="K278" s="1">
        <f t="shared" si="23"/>
        <v>7540775000</v>
      </c>
      <c r="L278" s="17">
        <f t="shared" si="24"/>
        <v>36.349107399668497</v>
      </c>
    </row>
    <row r="279" spans="1:12" x14ac:dyDescent="0.3">
      <c r="A279" s="1" t="s">
        <v>91</v>
      </c>
      <c r="B279" s="11">
        <v>2022</v>
      </c>
      <c r="C279" s="1" t="s">
        <v>96</v>
      </c>
      <c r="D279" s="2">
        <v>1350</v>
      </c>
      <c r="E279" s="2">
        <v>29199</v>
      </c>
      <c r="F279" s="2">
        <f t="shared" si="20"/>
        <v>39418650</v>
      </c>
      <c r="G279" s="2">
        <v>893513000</v>
      </c>
      <c r="H279" s="2">
        <v>324784000</v>
      </c>
      <c r="I279" s="1">
        <f t="shared" si="21"/>
        <v>14328327.423999427</v>
      </c>
      <c r="J279" s="1">
        <f t="shared" si="22"/>
        <v>36.349107399668497</v>
      </c>
      <c r="K279" s="1">
        <f t="shared" si="23"/>
        <v>7540775000</v>
      </c>
      <c r="L279" s="17">
        <f t="shared" si="24"/>
        <v>36.349107399668497</v>
      </c>
    </row>
    <row r="280" spans="1:12" x14ac:dyDescent="0.3">
      <c r="A280" s="1" t="s">
        <v>91</v>
      </c>
      <c r="B280" s="11">
        <v>2022</v>
      </c>
      <c r="C280" s="1" t="s">
        <v>97</v>
      </c>
      <c r="D280" s="2">
        <v>1450</v>
      </c>
      <c r="E280" s="2">
        <v>29199</v>
      </c>
      <c r="F280" s="2">
        <f t="shared" si="20"/>
        <v>42338550</v>
      </c>
      <c r="G280" s="2">
        <v>893513000</v>
      </c>
      <c r="H280" s="2">
        <v>324784000</v>
      </c>
      <c r="I280" s="1">
        <f t="shared" si="21"/>
        <v>15389685.010962347</v>
      </c>
      <c r="J280" s="1">
        <f t="shared" si="22"/>
        <v>36.349107399668497</v>
      </c>
      <c r="K280" s="1">
        <f t="shared" si="23"/>
        <v>7540775000</v>
      </c>
      <c r="L280" s="17">
        <f t="shared" si="24"/>
        <v>36.349107399668497</v>
      </c>
    </row>
    <row r="281" spans="1:12" x14ac:dyDescent="0.3">
      <c r="A281" s="1" t="s">
        <v>91</v>
      </c>
      <c r="B281" s="11">
        <v>2022</v>
      </c>
      <c r="C281" s="1" t="s">
        <v>98</v>
      </c>
      <c r="D281" s="2">
        <v>2000</v>
      </c>
      <c r="E281" s="2">
        <v>29669</v>
      </c>
      <c r="F281" s="2">
        <f t="shared" si="20"/>
        <v>59338000</v>
      </c>
      <c r="G281" s="2">
        <v>893513000</v>
      </c>
      <c r="H281" s="2">
        <v>324784000</v>
      </c>
      <c r="I281" s="1">
        <f t="shared" si="21"/>
        <v>21568833.348815292</v>
      </c>
      <c r="J281" s="1">
        <f t="shared" si="22"/>
        <v>36.349107399668497</v>
      </c>
      <c r="K281" s="1">
        <f t="shared" si="23"/>
        <v>7540775000</v>
      </c>
      <c r="L281" s="17">
        <f t="shared" si="24"/>
        <v>36.349107399668497</v>
      </c>
    </row>
    <row r="282" spans="1:12" x14ac:dyDescent="0.3">
      <c r="A282" s="1" t="s">
        <v>91</v>
      </c>
      <c r="B282" s="11">
        <v>2022</v>
      </c>
      <c r="C282" s="1" t="s">
        <v>99</v>
      </c>
      <c r="D282" s="2">
        <v>2200</v>
      </c>
      <c r="E282" s="2">
        <v>29958</v>
      </c>
      <c r="F282" s="2">
        <f t="shared" si="20"/>
        <v>65907600</v>
      </c>
      <c r="G282" s="2">
        <v>893513000</v>
      </c>
      <c r="H282" s="2">
        <v>324784000</v>
      </c>
      <c r="I282" s="1">
        <f t="shared" si="21"/>
        <v>23956824.308543917</v>
      </c>
      <c r="J282" s="1">
        <f t="shared" si="22"/>
        <v>36.349107399668497</v>
      </c>
      <c r="K282" s="1">
        <f t="shared" si="23"/>
        <v>7540775000</v>
      </c>
      <c r="L282" s="17">
        <f t="shared" si="24"/>
        <v>36.349107399668497</v>
      </c>
    </row>
    <row r="283" spans="1:12" x14ac:dyDescent="0.3">
      <c r="A283" s="1" t="s">
        <v>91</v>
      </c>
      <c r="B283" s="11">
        <v>2022</v>
      </c>
      <c r="C283" s="1" t="s">
        <v>100</v>
      </c>
      <c r="D283" s="2">
        <v>2300</v>
      </c>
      <c r="E283" s="2">
        <v>30080</v>
      </c>
      <c r="F283" s="2">
        <f t="shared" si="20"/>
        <v>69184000</v>
      </c>
      <c r="G283" s="2">
        <v>893513000</v>
      </c>
      <c r="H283" s="2">
        <v>324784000</v>
      </c>
      <c r="I283" s="1">
        <f t="shared" si="21"/>
        <v>25147766.463386655</v>
      </c>
      <c r="J283" s="1">
        <f t="shared" si="22"/>
        <v>36.349107399668497</v>
      </c>
      <c r="K283" s="1">
        <f t="shared" si="23"/>
        <v>7540775000</v>
      </c>
      <c r="L283" s="17">
        <f t="shared" si="24"/>
        <v>36.349107399668497</v>
      </c>
    </row>
    <row r="284" spans="1:12" x14ac:dyDescent="0.3">
      <c r="A284" s="1" t="s">
        <v>91</v>
      </c>
      <c r="B284" s="11">
        <v>2022</v>
      </c>
      <c r="C284" s="1" t="s">
        <v>101</v>
      </c>
      <c r="D284" s="2">
        <v>1800</v>
      </c>
      <c r="E284" s="2">
        <v>30533</v>
      </c>
      <c r="F284" s="2">
        <f t="shared" si="20"/>
        <v>54959400</v>
      </c>
      <c r="G284" s="2">
        <v>893513000</v>
      </c>
      <c r="H284" s="2">
        <v>324784000</v>
      </c>
      <c r="I284" s="1">
        <f t="shared" si="21"/>
        <v>19977251.332213409</v>
      </c>
      <c r="J284" s="1">
        <f t="shared" si="22"/>
        <v>36.349107399668497</v>
      </c>
      <c r="K284" s="1">
        <f t="shared" si="23"/>
        <v>7540775000</v>
      </c>
      <c r="L284" s="17">
        <f t="shared" si="24"/>
        <v>36.349107399668497</v>
      </c>
    </row>
    <row r="285" spans="1:12" x14ac:dyDescent="0.3">
      <c r="A285" s="1" t="s">
        <v>91</v>
      </c>
      <c r="B285" s="11">
        <v>2022</v>
      </c>
      <c r="C285" s="1" t="s">
        <v>102</v>
      </c>
      <c r="D285" s="2">
        <v>1700</v>
      </c>
      <c r="E285" s="2">
        <v>30917</v>
      </c>
      <c r="F285" s="2">
        <f t="shared" si="20"/>
        <v>52558900</v>
      </c>
      <c r="G285" s="2">
        <v>893513000</v>
      </c>
      <c r="H285" s="2">
        <v>324784000</v>
      </c>
      <c r="I285" s="1">
        <f t="shared" si="21"/>
        <v>19104691.009084366</v>
      </c>
      <c r="J285" s="1">
        <f t="shared" si="22"/>
        <v>36.349107399668497</v>
      </c>
      <c r="K285" s="1">
        <f t="shared" si="23"/>
        <v>7540775000</v>
      </c>
      <c r="L285" s="17">
        <f t="shared" si="24"/>
        <v>36.349107399668497</v>
      </c>
    </row>
    <row r="286" spans="1:12" x14ac:dyDescent="0.3">
      <c r="A286" s="1" t="s">
        <v>91</v>
      </c>
      <c r="B286" s="11">
        <v>2022</v>
      </c>
      <c r="C286" s="1" t="s">
        <v>103</v>
      </c>
      <c r="D286" s="2">
        <v>1900</v>
      </c>
      <c r="E286" s="2">
        <v>31318</v>
      </c>
      <c r="F286" s="2">
        <f t="shared" si="20"/>
        <v>59504200</v>
      </c>
      <c r="G286" s="2">
        <v>893513000</v>
      </c>
      <c r="H286" s="2">
        <v>324784000</v>
      </c>
      <c r="I286" s="1">
        <f t="shared" si="21"/>
        <v>21629245.565313544</v>
      </c>
      <c r="J286" s="1">
        <f t="shared" si="22"/>
        <v>36.349107399668497</v>
      </c>
      <c r="K286" s="1">
        <f t="shared" si="23"/>
        <v>7540775000</v>
      </c>
      <c r="L286" s="17">
        <f t="shared" si="24"/>
        <v>36.349107399668497</v>
      </c>
    </row>
    <row r="287" spans="1:12" x14ac:dyDescent="0.3">
      <c r="A287" s="1" t="s">
        <v>91</v>
      </c>
      <c r="B287" s="11">
        <v>2022</v>
      </c>
      <c r="C287" s="1" t="s">
        <v>104</v>
      </c>
      <c r="D287" s="2">
        <v>4000</v>
      </c>
      <c r="E287" s="2">
        <v>31318</v>
      </c>
      <c r="F287" s="2">
        <f t="shared" si="20"/>
        <v>125272000</v>
      </c>
      <c r="G287" s="2">
        <v>893513000</v>
      </c>
      <c r="H287" s="2">
        <v>324784000</v>
      </c>
      <c r="I287" s="1">
        <f t="shared" si="21"/>
        <v>45535253.821712725</v>
      </c>
      <c r="J287" s="1">
        <f t="shared" si="22"/>
        <v>36.349107399668497</v>
      </c>
      <c r="K287" s="1">
        <f t="shared" si="23"/>
        <v>7540775000</v>
      </c>
      <c r="L287" s="17">
        <f t="shared" si="24"/>
        <v>36.349107399668497</v>
      </c>
    </row>
    <row r="288" spans="1:12" x14ac:dyDescent="0.3">
      <c r="A288" s="1" t="s">
        <v>91</v>
      </c>
      <c r="B288" s="11">
        <v>2022</v>
      </c>
      <c r="C288" s="1" t="s">
        <v>105</v>
      </c>
      <c r="D288" s="2">
        <v>650</v>
      </c>
      <c r="E288" s="2">
        <v>31790</v>
      </c>
      <c r="F288" s="2">
        <f t="shared" si="20"/>
        <v>20663500</v>
      </c>
      <c r="G288" s="2">
        <v>893513000</v>
      </c>
      <c r="H288" s="2">
        <v>324784000</v>
      </c>
      <c r="I288" s="1">
        <f t="shared" si="21"/>
        <v>7510997.8075305</v>
      </c>
      <c r="J288" s="1">
        <f t="shared" si="22"/>
        <v>36.349107399668497</v>
      </c>
      <c r="K288" s="1">
        <f t="shared" si="23"/>
        <v>7540775000</v>
      </c>
      <c r="L288" s="17">
        <f t="shared" si="24"/>
        <v>36.349107399668497</v>
      </c>
    </row>
    <row r="289" spans="1:12" x14ac:dyDescent="0.3">
      <c r="A289" s="1" t="s">
        <v>91</v>
      </c>
      <c r="B289" s="11">
        <v>2022</v>
      </c>
      <c r="C289" s="1" t="s">
        <v>106</v>
      </c>
      <c r="D289" s="2">
        <v>1800</v>
      </c>
      <c r="E289" s="2">
        <v>31800</v>
      </c>
      <c r="F289" s="2">
        <f t="shared" si="20"/>
        <v>57240000</v>
      </c>
      <c r="G289" s="2">
        <v>893513000</v>
      </c>
      <c r="H289" s="2">
        <v>324784000</v>
      </c>
      <c r="I289" s="1">
        <f t="shared" si="21"/>
        <v>20806229.075570248</v>
      </c>
      <c r="J289" s="1">
        <f t="shared" si="22"/>
        <v>36.349107399668497</v>
      </c>
      <c r="K289" s="1">
        <f t="shared" si="23"/>
        <v>7540775000</v>
      </c>
      <c r="L289" s="17">
        <f t="shared" si="24"/>
        <v>36.349107399668497</v>
      </c>
    </row>
    <row r="290" spans="1:12" x14ac:dyDescent="0.3">
      <c r="A290" s="1" t="s">
        <v>91</v>
      </c>
      <c r="B290" s="11">
        <v>2022</v>
      </c>
      <c r="C290" s="1" t="s">
        <v>107</v>
      </c>
      <c r="D290" s="2">
        <v>2800</v>
      </c>
      <c r="E290" s="2">
        <v>33062</v>
      </c>
      <c r="F290" s="2">
        <f t="shared" si="20"/>
        <v>92573600</v>
      </c>
      <c r="G290" s="2">
        <v>893513000</v>
      </c>
      <c r="H290" s="2">
        <v>324784000</v>
      </c>
      <c r="I290" s="1">
        <f t="shared" si="21"/>
        <v>33649677.287739523</v>
      </c>
      <c r="J290" s="1">
        <f t="shared" si="22"/>
        <v>36.349107399668505</v>
      </c>
      <c r="K290" s="1">
        <f t="shared" si="23"/>
        <v>7540775000</v>
      </c>
      <c r="L290" s="17">
        <f t="shared" si="24"/>
        <v>36.349107399668497</v>
      </c>
    </row>
    <row r="291" spans="1:12" x14ac:dyDescent="0.3">
      <c r="A291" s="1" t="s">
        <v>91</v>
      </c>
      <c r="B291" s="11">
        <v>2022</v>
      </c>
      <c r="C291" s="1" t="s">
        <v>108</v>
      </c>
      <c r="D291" s="2">
        <v>4100</v>
      </c>
      <c r="E291" s="2">
        <v>33160</v>
      </c>
      <c r="F291" s="2">
        <f t="shared" si="20"/>
        <v>135956000</v>
      </c>
      <c r="G291" s="2">
        <v>893513000</v>
      </c>
      <c r="H291" s="2">
        <v>324784000</v>
      </c>
      <c r="I291" s="1">
        <f t="shared" si="21"/>
        <v>49418792.456293307</v>
      </c>
      <c r="J291" s="1">
        <f t="shared" si="22"/>
        <v>36.349107399668497</v>
      </c>
      <c r="K291" s="1">
        <f t="shared" si="23"/>
        <v>7540775000</v>
      </c>
      <c r="L291" s="17">
        <f t="shared" si="24"/>
        <v>36.349107399668497</v>
      </c>
    </row>
    <row r="292" spans="1:12" x14ac:dyDescent="0.3">
      <c r="A292" s="1" t="s">
        <v>91</v>
      </c>
      <c r="B292" s="11">
        <v>2023</v>
      </c>
      <c r="C292" s="1" t="s">
        <v>92</v>
      </c>
      <c r="D292" s="2">
        <v>950</v>
      </c>
      <c r="E292" s="2">
        <v>33804</v>
      </c>
      <c r="F292" s="2">
        <f t="shared" si="20"/>
        <v>32113800</v>
      </c>
      <c r="G292" s="2">
        <v>958340000</v>
      </c>
      <c r="H292" s="2">
        <v>11958000</v>
      </c>
      <c r="I292" s="1">
        <f t="shared" si="21"/>
        <v>400710.41634492978</v>
      </c>
      <c r="J292" s="1">
        <f t="shared" si="22"/>
        <v>1.2477826241208756</v>
      </c>
      <c r="K292" s="1">
        <f t="shared" si="23"/>
        <v>7540775000</v>
      </c>
      <c r="L292" s="17">
        <f t="shared" si="24"/>
        <v>1.2477826241208756</v>
      </c>
    </row>
    <row r="293" spans="1:12" x14ac:dyDescent="0.3">
      <c r="A293" s="1" t="s">
        <v>91</v>
      </c>
      <c r="B293" s="11">
        <v>2023</v>
      </c>
      <c r="C293" s="1" t="s">
        <v>93</v>
      </c>
      <c r="D293" s="2">
        <v>1100</v>
      </c>
      <c r="E293" s="2">
        <v>34427</v>
      </c>
      <c r="F293" s="2">
        <f t="shared" si="20"/>
        <v>37869700</v>
      </c>
      <c r="G293" s="2">
        <v>958340000</v>
      </c>
      <c r="H293" s="2">
        <v>11958000</v>
      </c>
      <c r="I293" s="1">
        <f t="shared" si="21"/>
        <v>472531.53640670324</v>
      </c>
      <c r="J293" s="1">
        <f t="shared" si="22"/>
        <v>1.2477826241208756</v>
      </c>
      <c r="K293" s="1">
        <f t="shared" si="23"/>
        <v>7540775000</v>
      </c>
      <c r="L293" s="17">
        <f t="shared" si="24"/>
        <v>1.2477826241208756</v>
      </c>
    </row>
    <row r="294" spans="1:12" x14ac:dyDescent="0.3">
      <c r="A294" s="1" t="s">
        <v>91</v>
      </c>
      <c r="B294" s="11">
        <v>2023</v>
      </c>
      <c r="C294" s="1" t="s">
        <v>94</v>
      </c>
      <c r="D294" s="2">
        <v>1250</v>
      </c>
      <c r="E294" s="2">
        <v>35896</v>
      </c>
      <c r="F294" s="2">
        <f t="shared" si="20"/>
        <v>44870000</v>
      </c>
      <c r="G294" s="2">
        <v>958340000</v>
      </c>
      <c r="H294" s="2">
        <v>11958000</v>
      </c>
      <c r="I294" s="1">
        <f t="shared" si="21"/>
        <v>559880.06344303698</v>
      </c>
      <c r="J294" s="1">
        <f t="shared" si="22"/>
        <v>1.2477826241208758</v>
      </c>
      <c r="K294" s="1">
        <f t="shared" si="23"/>
        <v>7540775000</v>
      </c>
      <c r="L294" s="17">
        <f t="shared" si="24"/>
        <v>1.2477826241208756</v>
      </c>
    </row>
    <row r="295" spans="1:12" x14ac:dyDescent="0.3">
      <c r="A295" s="1" t="s">
        <v>91</v>
      </c>
      <c r="B295" s="11">
        <v>2023</v>
      </c>
      <c r="C295" s="1" t="s">
        <v>95</v>
      </c>
      <c r="D295" s="2">
        <v>1300</v>
      </c>
      <c r="E295" s="2">
        <v>36247</v>
      </c>
      <c r="F295" s="2">
        <f t="shared" si="20"/>
        <v>47121100</v>
      </c>
      <c r="G295" s="2">
        <v>958340000</v>
      </c>
      <c r="H295" s="2">
        <v>11958000</v>
      </c>
      <c r="I295" s="1">
        <f t="shared" si="21"/>
        <v>587968.89809462195</v>
      </c>
      <c r="J295" s="1">
        <f t="shared" si="22"/>
        <v>1.2477826241208756</v>
      </c>
      <c r="K295" s="1">
        <f t="shared" si="23"/>
        <v>7540775000</v>
      </c>
      <c r="L295" s="17">
        <f t="shared" si="24"/>
        <v>1.2477826241208756</v>
      </c>
    </row>
    <row r="296" spans="1:12" x14ac:dyDescent="0.3">
      <c r="A296" s="1" t="s">
        <v>91</v>
      </c>
      <c r="B296" s="11">
        <v>2023</v>
      </c>
      <c r="C296" s="1" t="s">
        <v>96</v>
      </c>
      <c r="D296" s="2">
        <v>1350</v>
      </c>
      <c r="E296" s="2">
        <v>36316</v>
      </c>
      <c r="F296" s="2">
        <f t="shared" si="20"/>
        <v>49026600</v>
      </c>
      <c r="G296" s="2">
        <v>958340000</v>
      </c>
      <c r="H296" s="2">
        <v>11958000</v>
      </c>
      <c r="I296" s="1">
        <f t="shared" si="21"/>
        <v>611745.39599724521</v>
      </c>
      <c r="J296" s="1">
        <f t="shared" si="22"/>
        <v>1.2477826241208756</v>
      </c>
      <c r="K296" s="1">
        <f t="shared" si="23"/>
        <v>7540775000</v>
      </c>
      <c r="L296" s="17">
        <f t="shared" si="24"/>
        <v>1.2477826241208756</v>
      </c>
    </row>
    <row r="297" spans="1:12" x14ac:dyDescent="0.3">
      <c r="A297" s="1" t="s">
        <v>91</v>
      </c>
      <c r="B297" s="11">
        <v>2023</v>
      </c>
      <c r="C297" s="1" t="s">
        <v>97</v>
      </c>
      <c r="D297" s="2">
        <v>1450</v>
      </c>
      <c r="E297" s="2">
        <v>36620</v>
      </c>
      <c r="F297" s="2">
        <f t="shared" si="20"/>
        <v>53099000</v>
      </c>
      <c r="G297" s="2">
        <v>958340000</v>
      </c>
      <c r="H297" s="2">
        <v>11958000</v>
      </c>
      <c r="I297" s="1">
        <f t="shared" si="21"/>
        <v>662560.09558194375</v>
      </c>
      <c r="J297" s="1">
        <f t="shared" si="22"/>
        <v>1.2477826241208756</v>
      </c>
      <c r="K297" s="1">
        <f t="shared" si="23"/>
        <v>7540775000</v>
      </c>
      <c r="L297" s="17">
        <f t="shared" si="24"/>
        <v>1.2477826241208756</v>
      </c>
    </row>
    <row r="298" spans="1:12" x14ac:dyDescent="0.3">
      <c r="A298" s="1" t="s">
        <v>91</v>
      </c>
      <c r="B298" s="11">
        <v>2023</v>
      </c>
      <c r="C298" s="1" t="s">
        <v>98</v>
      </c>
      <c r="D298" s="2">
        <v>2000</v>
      </c>
      <c r="E298" s="2">
        <v>37156</v>
      </c>
      <c r="F298" s="2">
        <f t="shared" si="20"/>
        <v>74312000</v>
      </c>
      <c r="G298" s="2">
        <v>958340000</v>
      </c>
      <c r="H298" s="2">
        <v>11958000</v>
      </c>
      <c r="I298" s="1">
        <f t="shared" si="21"/>
        <v>927252.2236367052</v>
      </c>
      <c r="J298" s="1">
        <f t="shared" si="22"/>
        <v>1.2477826241208756</v>
      </c>
      <c r="K298" s="1">
        <f t="shared" si="23"/>
        <v>7540775000</v>
      </c>
      <c r="L298" s="17">
        <f t="shared" si="24"/>
        <v>1.2477826241208756</v>
      </c>
    </row>
    <row r="299" spans="1:12" x14ac:dyDescent="0.3">
      <c r="A299" s="1" t="s">
        <v>91</v>
      </c>
      <c r="B299" s="11">
        <v>2023</v>
      </c>
      <c r="C299" s="1" t="s">
        <v>99</v>
      </c>
      <c r="D299" s="2">
        <v>2200</v>
      </c>
      <c r="E299" s="2">
        <v>38132</v>
      </c>
      <c r="F299" s="2">
        <f t="shared" si="20"/>
        <v>83890400</v>
      </c>
      <c r="G299" s="2">
        <v>958340000</v>
      </c>
      <c r="H299" s="2">
        <v>11958000</v>
      </c>
      <c r="I299" s="1">
        <f t="shared" si="21"/>
        <v>1046769.8345054991</v>
      </c>
      <c r="J299" s="1">
        <f t="shared" si="22"/>
        <v>1.2477826241208756</v>
      </c>
      <c r="K299" s="1">
        <f t="shared" si="23"/>
        <v>7540775000</v>
      </c>
      <c r="L299" s="17">
        <f t="shared" si="24"/>
        <v>1.2477826241208756</v>
      </c>
    </row>
    <row r="300" spans="1:12" x14ac:dyDescent="0.3">
      <c r="A300" s="1" t="s">
        <v>91</v>
      </c>
      <c r="B300" s="11">
        <v>2023</v>
      </c>
      <c r="C300" s="1" t="s">
        <v>100</v>
      </c>
      <c r="D300" s="2">
        <v>2300</v>
      </c>
      <c r="E300" s="2">
        <v>38877</v>
      </c>
      <c r="F300" s="2">
        <f t="shared" si="20"/>
        <v>89417100</v>
      </c>
      <c r="G300" s="2">
        <v>958340000</v>
      </c>
      <c r="H300" s="2">
        <v>11958000</v>
      </c>
      <c r="I300" s="1">
        <f t="shared" si="21"/>
        <v>1115731.0367927875</v>
      </c>
      <c r="J300" s="1">
        <f t="shared" si="22"/>
        <v>1.2477826241208756</v>
      </c>
      <c r="K300" s="1">
        <f t="shared" si="23"/>
        <v>7540775000</v>
      </c>
      <c r="L300" s="17">
        <f t="shared" si="24"/>
        <v>1.2477826241208756</v>
      </c>
    </row>
    <row r="301" spans="1:12" x14ac:dyDescent="0.3">
      <c r="A301" s="1" t="s">
        <v>91</v>
      </c>
      <c r="B301" s="11">
        <v>2023</v>
      </c>
      <c r="C301" s="1" t="s">
        <v>101</v>
      </c>
      <c r="D301" s="2">
        <v>1800</v>
      </c>
      <c r="E301" s="2">
        <v>38933</v>
      </c>
      <c r="F301" s="2">
        <f t="shared" si="20"/>
        <v>70079400</v>
      </c>
      <c r="G301" s="2">
        <v>958340000</v>
      </c>
      <c r="H301" s="2">
        <v>11958000</v>
      </c>
      <c r="I301" s="1">
        <f t="shared" si="21"/>
        <v>874438.57628816494</v>
      </c>
      <c r="J301" s="1">
        <f t="shared" si="22"/>
        <v>1.2477826241208756</v>
      </c>
      <c r="K301" s="1">
        <f t="shared" si="23"/>
        <v>7540775000</v>
      </c>
      <c r="L301" s="17">
        <f t="shared" si="24"/>
        <v>1.2477826241208756</v>
      </c>
    </row>
    <row r="302" spans="1:12" x14ac:dyDescent="0.3">
      <c r="A302" s="1" t="s">
        <v>91</v>
      </c>
      <c r="B302" s="11">
        <v>2023</v>
      </c>
      <c r="C302" s="1" t="s">
        <v>102</v>
      </c>
      <c r="D302" s="2">
        <v>1700</v>
      </c>
      <c r="E302" s="2">
        <v>40101</v>
      </c>
      <c r="F302" s="2">
        <f t="shared" si="20"/>
        <v>68171700</v>
      </c>
      <c r="G302" s="2">
        <v>958340000</v>
      </c>
      <c r="H302" s="2">
        <v>11958000</v>
      </c>
      <c r="I302" s="1">
        <f t="shared" si="21"/>
        <v>850634.62716781104</v>
      </c>
      <c r="J302" s="1">
        <f t="shared" si="22"/>
        <v>1.2477826241208756</v>
      </c>
      <c r="K302" s="1">
        <f t="shared" si="23"/>
        <v>7540775000</v>
      </c>
      <c r="L302" s="17">
        <f t="shared" si="24"/>
        <v>1.2477826241208756</v>
      </c>
    </row>
    <row r="303" spans="1:12" x14ac:dyDescent="0.3">
      <c r="A303" s="1" t="s">
        <v>91</v>
      </c>
      <c r="B303" s="11">
        <v>2023</v>
      </c>
      <c r="C303" s="1" t="s">
        <v>103</v>
      </c>
      <c r="D303" s="2">
        <v>1900</v>
      </c>
      <c r="E303" s="2">
        <v>40430</v>
      </c>
      <c r="F303" s="2">
        <f t="shared" si="20"/>
        <v>76817000</v>
      </c>
      <c r="G303" s="2">
        <v>958340000</v>
      </c>
      <c r="H303" s="2">
        <v>11958000</v>
      </c>
      <c r="I303" s="1">
        <f t="shared" si="21"/>
        <v>958509.17837093305</v>
      </c>
      <c r="J303" s="1">
        <f t="shared" si="22"/>
        <v>1.2477826241208756</v>
      </c>
      <c r="K303" s="1">
        <f t="shared" si="23"/>
        <v>7540775000</v>
      </c>
      <c r="L303" s="17">
        <f t="shared" si="24"/>
        <v>1.2477826241208756</v>
      </c>
    </row>
    <row r="304" spans="1:12" x14ac:dyDescent="0.3">
      <c r="A304" s="1" t="s">
        <v>91</v>
      </c>
      <c r="B304" s="11">
        <v>2023</v>
      </c>
      <c r="C304" s="1" t="s">
        <v>104</v>
      </c>
      <c r="D304" s="2">
        <v>4000</v>
      </c>
      <c r="E304" s="2">
        <v>40856</v>
      </c>
      <c r="F304" s="2">
        <f t="shared" si="20"/>
        <v>163424000</v>
      </c>
      <c r="G304" s="2">
        <v>958340000</v>
      </c>
      <c r="H304" s="2">
        <v>11958000</v>
      </c>
      <c r="I304" s="1">
        <f t="shared" si="21"/>
        <v>2039176.2756432998</v>
      </c>
      <c r="J304" s="1">
        <f t="shared" si="22"/>
        <v>1.2477826241208756</v>
      </c>
      <c r="K304" s="1">
        <f t="shared" si="23"/>
        <v>7540775000</v>
      </c>
      <c r="L304" s="17">
        <f t="shared" si="24"/>
        <v>1.2477826241208756</v>
      </c>
    </row>
    <row r="305" spans="1:12" x14ac:dyDescent="0.3">
      <c r="A305" s="1" t="s">
        <v>91</v>
      </c>
      <c r="B305" s="11">
        <v>2023</v>
      </c>
      <c r="C305" s="1" t="s">
        <v>105</v>
      </c>
      <c r="D305" s="2">
        <v>650</v>
      </c>
      <c r="E305" s="2">
        <v>41253</v>
      </c>
      <c r="F305" s="2">
        <f t="shared" si="20"/>
        <v>26814450</v>
      </c>
      <c r="G305" s="2">
        <v>958340000</v>
      </c>
      <c r="H305" s="2">
        <v>11958000</v>
      </c>
      <c r="I305" s="1">
        <f t="shared" si="21"/>
        <v>334586.04785358015</v>
      </c>
      <c r="J305" s="1">
        <f t="shared" si="22"/>
        <v>1.2477826241208756</v>
      </c>
      <c r="K305" s="1">
        <f t="shared" si="23"/>
        <v>7540775000</v>
      </c>
      <c r="L305" s="17">
        <f t="shared" si="24"/>
        <v>1.2477826241208756</v>
      </c>
    </row>
    <row r="306" spans="1:12" x14ac:dyDescent="0.3">
      <c r="A306" s="1" t="s">
        <v>91</v>
      </c>
      <c r="B306" s="11">
        <v>2023</v>
      </c>
      <c r="C306" s="1" t="s">
        <v>106</v>
      </c>
      <c r="D306" s="2">
        <v>1800</v>
      </c>
      <c r="E306" s="2">
        <v>41253</v>
      </c>
      <c r="F306" s="2">
        <f t="shared" si="20"/>
        <v>74255400</v>
      </c>
      <c r="G306" s="2">
        <v>958340000</v>
      </c>
      <c r="H306" s="2">
        <v>11958000</v>
      </c>
      <c r="I306" s="1">
        <f t="shared" si="21"/>
        <v>926545.97867145273</v>
      </c>
      <c r="J306" s="1">
        <f t="shared" si="22"/>
        <v>1.2477826241208756</v>
      </c>
      <c r="K306" s="1">
        <f t="shared" si="23"/>
        <v>7540775000</v>
      </c>
      <c r="L306" s="17">
        <f t="shared" si="24"/>
        <v>1.2477826241208756</v>
      </c>
    </row>
    <row r="307" spans="1:12" x14ac:dyDescent="0.3">
      <c r="A307" s="1" t="s">
        <v>91</v>
      </c>
      <c r="B307" s="11">
        <v>2023</v>
      </c>
      <c r="C307" s="1" t="s">
        <v>107</v>
      </c>
      <c r="D307" s="2">
        <v>2800</v>
      </c>
      <c r="E307" s="2">
        <v>41757</v>
      </c>
      <c r="F307" s="2">
        <f t="shared" si="20"/>
        <v>116919600</v>
      </c>
      <c r="G307" s="2">
        <v>958340000</v>
      </c>
      <c r="H307" s="2">
        <v>11958000</v>
      </c>
      <c r="I307" s="1">
        <f t="shared" si="21"/>
        <v>1458902.4529916313</v>
      </c>
      <c r="J307" s="1">
        <f t="shared" si="22"/>
        <v>1.2477826241208756</v>
      </c>
      <c r="K307" s="1">
        <f t="shared" si="23"/>
        <v>7540775000</v>
      </c>
      <c r="L307" s="17">
        <f t="shared" si="24"/>
        <v>1.2477826241208756</v>
      </c>
    </row>
    <row r="308" spans="1:12" x14ac:dyDescent="0.3">
      <c r="A308" s="1" t="s">
        <v>91</v>
      </c>
      <c r="B308" s="11">
        <v>2023</v>
      </c>
      <c r="C308" s="1" t="s">
        <v>108</v>
      </c>
      <c r="D308" s="2">
        <v>4100</v>
      </c>
      <c r="E308" s="2">
        <v>42047</v>
      </c>
      <c r="F308" s="2">
        <f t="shared" si="20"/>
        <v>172392700</v>
      </c>
      <c r="G308" s="2">
        <v>958340000</v>
      </c>
      <c r="H308" s="2">
        <v>11958000</v>
      </c>
      <c r="I308" s="1">
        <f t="shared" si="21"/>
        <v>2151086.1558528286</v>
      </c>
      <c r="J308" s="1">
        <f t="shared" si="22"/>
        <v>1.2477826241208756</v>
      </c>
      <c r="K308" s="1">
        <f t="shared" si="23"/>
        <v>7540775000</v>
      </c>
      <c r="L308" s="17">
        <f t="shared" si="24"/>
        <v>1.2477826241208756</v>
      </c>
    </row>
    <row r="309" spans="1:12" x14ac:dyDescent="0.3">
      <c r="A309" s="1" t="s">
        <v>91</v>
      </c>
      <c r="B309" s="11">
        <v>2024</v>
      </c>
      <c r="C309" s="1" t="s">
        <v>92</v>
      </c>
      <c r="D309" s="2">
        <v>950</v>
      </c>
      <c r="E309" s="2">
        <v>43034</v>
      </c>
      <c r="F309" s="2">
        <f t="shared" si="20"/>
        <v>40882300</v>
      </c>
      <c r="G309" s="2">
        <v>3659559000</v>
      </c>
      <c r="H309" s="2">
        <v>106833000</v>
      </c>
      <c r="I309" s="1">
        <f t="shared" si="21"/>
        <v>1193471.3324474343</v>
      </c>
      <c r="J309" s="1">
        <f t="shared" si="22"/>
        <v>2.9192861762851754</v>
      </c>
      <c r="K309" s="1">
        <f t="shared" si="23"/>
        <v>7540775000</v>
      </c>
      <c r="L309" s="17">
        <f t="shared" si="24"/>
        <v>2.9192861762851754</v>
      </c>
    </row>
    <row r="310" spans="1:12" x14ac:dyDescent="0.3">
      <c r="A310" s="1" t="s">
        <v>91</v>
      </c>
      <c r="B310" s="11">
        <v>2024</v>
      </c>
      <c r="C310" s="1" t="s">
        <v>93</v>
      </c>
      <c r="D310" s="2">
        <v>1100</v>
      </c>
      <c r="E310" s="2">
        <v>43287</v>
      </c>
      <c r="F310" s="2">
        <f t="shared" si="20"/>
        <v>47615700</v>
      </c>
      <c r="G310" s="2">
        <v>3659559000</v>
      </c>
      <c r="H310" s="2">
        <v>106833000</v>
      </c>
      <c r="I310" s="1">
        <f t="shared" si="21"/>
        <v>1390038.5478414202</v>
      </c>
      <c r="J310" s="1">
        <f t="shared" si="22"/>
        <v>2.9192861762851749</v>
      </c>
      <c r="K310" s="1">
        <f t="shared" si="23"/>
        <v>7540775000</v>
      </c>
      <c r="L310" s="17">
        <f t="shared" si="24"/>
        <v>2.9192861762851754</v>
      </c>
    </row>
    <row r="311" spans="1:12" x14ac:dyDescent="0.3">
      <c r="A311" s="1" t="s">
        <v>91</v>
      </c>
      <c r="B311" s="11">
        <v>2024</v>
      </c>
      <c r="C311" s="1" t="s">
        <v>94</v>
      </c>
      <c r="D311" s="2">
        <v>1250</v>
      </c>
      <c r="E311" s="2">
        <v>43363</v>
      </c>
      <c r="F311" s="2">
        <f t="shared" si="20"/>
        <v>54203750</v>
      </c>
      <c r="G311" s="2">
        <v>3659559000</v>
      </c>
      <c r="H311" s="2">
        <v>106833000</v>
      </c>
      <c r="I311" s="1">
        <f t="shared" si="21"/>
        <v>1582362.5807781757</v>
      </c>
      <c r="J311" s="1">
        <f t="shared" si="22"/>
        <v>2.9192861762851754</v>
      </c>
      <c r="K311" s="1">
        <f t="shared" si="23"/>
        <v>7540775000</v>
      </c>
      <c r="L311" s="17">
        <f t="shared" si="24"/>
        <v>2.9192861762851754</v>
      </c>
    </row>
    <row r="312" spans="1:12" x14ac:dyDescent="0.3">
      <c r="A312" s="1" t="s">
        <v>91</v>
      </c>
      <c r="B312" s="11">
        <v>2024</v>
      </c>
      <c r="C312" s="1" t="s">
        <v>95</v>
      </c>
      <c r="D312" s="2">
        <v>1300</v>
      </c>
      <c r="E312" s="2">
        <v>45098</v>
      </c>
      <c r="F312" s="2">
        <f t="shared" si="20"/>
        <v>58627400</v>
      </c>
      <c r="G312" s="2">
        <v>3659559000</v>
      </c>
      <c r="H312" s="2">
        <v>106833000</v>
      </c>
      <c r="I312" s="1">
        <f t="shared" si="21"/>
        <v>1711501.5837154151</v>
      </c>
      <c r="J312" s="1">
        <f t="shared" si="22"/>
        <v>2.9192861762851758</v>
      </c>
      <c r="K312" s="1">
        <f t="shared" si="23"/>
        <v>7540775000</v>
      </c>
      <c r="L312" s="17">
        <f t="shared" si="24"/>
        <v>2.9192861762851754</v>
      </c>
    </row>
    <row r="313" spans="1:12" x14ac:dyDescent="0.3">
      <c r="A313" s="1" t="s">
        <v>91</v>
      </c>
      <c r="B313" s="11">
        <v>2024</v>
      </c>
      <c r="C313" s="1" t="s">
        <v>96</v>
      </c>
      <c r="D313" s="2">
        <v>1350</v>
      </c>
      <c r="E313" s="2">
        <v>45833</v>
      </c>
      <c r="F313" s="2">
        <f t="shared" si="20"/>
        <v>61874550</v>
      </c>
      <c r="G313" s="2">
        <v>3659559000</v>
      </c>
      <c r="H313" s="2">
        <v>106833000</v>
      </c>
      <c r="I313" s="1">
        <f t="shared" si="21"/>
        <v>1806295.184788659</v>
      </c>
      <c r="J313" s="1">
        <f t="shared" si="22"/>
        <v>2.9192861762851754</v>
      </c>
      <c r="K313" s="1">
        <f t="shared" si="23"/>
        <v>7540775000</v>
      </c>
      <c r="L313" s="17">
        <f t="shared" si="24"/>
        <v>2.9192861762851754</v>
      </c>
    </row>
    <row r="314" spans="1:12" x14ac:dyDescent="0.3">
      <c r="A314" s="1" t="s">
        <v>91</v>
      </c>
      <c r="B314" s="11">
        <v>2024</v>
      </c>
      <c r="C314" s="1" t="s">
        <v>97</v>
      </c>
      <c r="D314" s="2">
        <v>1450</v>
      </c>
      <c r="E314" s="2">
        <v>45999</v>
      </c>
      <c r="F314" s="2">
        <f t="shared" si="20"/>
        <v>66698550</v>
      </c>
      <c r="G314" s="2">
        <v>3659559000</v>
      </c>
      <c r="H314" s="2">
        <v>106833000</v>
      </c>
      <c r="I314" s="1">
        <f t="shared" si="21"/>
        <v>1947121.5499326559</v>
      </c>
      <c r="J314" s="1">
        <f t="shared" si="22"/>
        <v>2.9192861762851754</v>
      </c>
      <c r="K314" s="1">
        <f t="shared" si="23"/>
        <v>7540775000</v>
      </c>
      <c r="L314" s="17">
        <f t="shared" si="24"/>
        <v>2.9192861762851754</v>
      </c>
    </row>
    <row r="315" spans="1:12" x14ac:dyDescent="0.3">
      <c r="A315" s="1" t="s">
        <v>91</v>
      </c>
      <c r="B315" s="11">
        <v>2024</v>
      </c>
      <c r="C315" s="1" t="s">
        <v>98</v>
      </c>
      <c r="D315" s="2">
        <v>2000</v>
      </c>
      <c r="E315" s="2">
        <v>46540</v>
      </c>
      <c r="F315" s="2">
        <f t="shared" si="20"/>
        <v>93080000</v>
      </c>
      <c r="G315" s="2">
        <v>3659559000</v>
      </c>
      <c r="H315" s="2">
        <v>106833000</v>
      </c>
      <c r="I315" s="1">
        <f t="shared" si="21"/>
        <v>2717271.5728862416</v>
      </c>
      <c r="J315" s="1">
        <f t="shared" si="22"/>
        <v>2.9192861762851758</v>
      </c>
      <c r="K315" s="1">
        <f t="shared" si="23"/>
        <v>7540775000</v>
      </c>
      <c r="L315" s="17">
        <f t="shared" si="24"/>
        <v>2.9192861762851754</v>
      </c>
    </row>
    <row r="316" spans="1:12" x14ac:dyDescent="0.3">
      <c r="A316" s="1" t="s">
        <v>91</v>
      </c>
      <c r="B316" s="11">
        <v>2024</v>
      </c>
      <c r="C316" s="1" t="s">
        <v>99</v>
      </c>
      <c r="D316" s="2">
        <v>2200</v>
      </c>
      <c r="E316" s="2">
        <v>47151</v>
      </c>
      <c r="F316" s="2">
        <f t="shared" si="20"/>
        <v>103732200</v>
      </c>
      <c r="G316" s="2">
        <v>3659559000</v>
      </c>
      <c r="H316" s="2">
        <v>106833000</v>
      </c>
      <c r="I316" s="1">
        <f t="shared" si="21"/>
        <v>3028239.7749564904</v>
      </c>
      <c r="J316" s="1">
        <f t="shared" si="22"/>
        <v>2.9192861762851749</v>
      </c>
      <c r="K316" s="1">
        <f t="shared" si="23"/>
        <v>7540775000</v>
      </c>
      <c r="L316" s="17">
        <f t="shared" si="24"/>
        <v>2.9192861762851754</v>
      </c>
    </row>
    <row r="317" spans="1:12" x14ac:dyDescent="0.3">
      <c r="A317" s="1" t="s">
        <v>91</v>
      </c>
      <c r="B317" s="11">
        <v>2024</v>
      </c>
      <c r="C317" s="1" t="s">
        <v>100</v>
      </c>
      <c r="D317" s="2">
        <v>2300</v>
      </c>
      <c r="E317" s="2">
        <v>47246</v>
      </c>
      <c r="F317" s="2">
        <f t="shared" si="20"/>
        <v>108665800</v>
      </c>
      <c r="G317" s="2">
        <v>3659559000</v>
      </c>
      <c r="H317" s="2">
        <v>106833000</v>
      </c>
      <c r="I317" s="1">
        <f t="shared" si="21"/>
        <v>3172265.6777496962</v>
      </c>
      <c r="J317" s="1">
        <f t="shared" si="22"/>
        <v>2.9192861762851754</v>
      </c>
      <c r="K317" s="1">
        <f t="shared" si="23"/>
        <v>7540775000</v>
      </c>
      <c r="L317" s="17">
        <f t="shared" si="24"/>
        <v>2.9192861762851754</v>
      </c>
    </row>
    <row r="318" spans="1:12" x14ac:dyDescent="0.3">
      <c r="A318" s="1" t="s">
        <v>91</v>
      </c>
      <c r="B318" s="11">
        <v>2024</v>
      </c>
      <c r="C318" s="1" t="s">
        <v>101</v>
      </c>
      <c r="D318" s="2">
        <v>1800</v>
      </c>
      <c r="E318" s="2">
        <v>47781</v>
      </c>
      <c r="F318" s="2">
        <f t="shared" si="20"/>
        <v>86005800</v>
      </c>
      <c r="G318" s="2">
        <v>3659559000</v>
      </c>
      <c r="H318" s="2">
        <v>106833000</v>
      </c>
      <c r="I318" s="1">
        <f t="shared" si="21"/>
        <v>2510755.4302034755</v>
      </c>
      <c r="J318" s="1">
        <f t="shared" si="22"/>
        <v>2.9192861762851754</v>
      </c>
      <c r="K318" s="1">
        <f t="shared" si="23"/>
        <v>7540775000</v>
      </c>
      <c r="L318" s="17">
        <f t="shared" si="24"/>
        <v>2.9192861762851754</v>
      </c>
    </row>
    <row r="319" spans="1:12" x14ac:dyDescent="0.3">
      <c r="A319" s="1" t="s">
        <v>91</v>
      </c>
      <c r="B319" s="11">
        <v>2024</v>
      </c>
      <c r="C319" s="1" t="s">
        <v>102</v>
      </c>
      <c r="D319" s="2">
        <v>1700</v>
      </c>
      <c r="E319" s="2">
        <v>49693</v>
      </c>
      <c r="F319" s="2">
        <f t="shared" si="20"/>
        <v>84478100</v>
      </c>
      <c r="G319" s="2">
        <v>3659559000</v>
      </c>
      <c r="H319" s="2">
        <v>106833000</v>
      </c>
      <c r="I319" s="1">
        <f t="shared" si="21"/>
        <v>2466157.4952883669</v>
      </c>
      <c r="J319" s="1">
        <f t="shared" si="22"/>
        <v>2.9192861762851754</v>
      </c>
      <c r="K319" s="1">
        <f t="shared" si="23"/>
        <v>7540775000</v>
      </c>
      <c r="L319" s="17">
        <f t="shared" si="24"/>
        <v>2.9192861762851754</v>
      </c>
    </row>
    <row r="320" spans="1:12" x14ac:dyDescent="0.3">
      <c r="A320" s="1" t="s">
        <v>91</v>
      </c>
      <c r="B320" s="11">
        <v>2024</v>
      </c>
      <c r="C320" s="1" t="s">
        <v>103</v>
      </c>
      <c r="D320" s="2">
        <v>1900</v>
      </c>
      <c r="E320" s="2">
        <v>51248</v>
      </c>
      <c r="F320" s="2">
        <f t="shared" si="20"/>
        <v>97371200</v>
      </c>
      <c r="G320" s="2">
        <v>3659559000</v>
      </c>
      <c r="H320" s="2">
        <v>106833000</v>
      </c>
      <c r="I320" s="1">
        <f t="shared" si="21"/>
        <v>2842543.9812829904</v>
      </c>
      <c r="J320" s="1">
        <f t="shared" si="22"/>
        <v>2.9192861762851749</v>
      </c>
      <c r="K320" s="1">
        <f t="shared" si="23"/>
        <v>7540775000</v>
      </c>
      <c r="L320" s="17">
        <f t="shared" si="24"/>
        <v>2.9192861762851754</v>
      </c>
    </row>
    <row r="321" spans="1:12" x14ac:dyDescent="0.3">
      <c r="A321" s="1" t="s">
        <v>91</v>
      </c>
      <c r="B321" s="11">
        <v>2024</v>
      </c>
      <c r="C321" s="1" t="s">
        <v>104</v>
      </c>
      <c r="D321" s="2">
        <v>4000</v>
      </c>
      <c r="E321" s="2">
        <v>52507</v>
      </c>
      <c r="F321" s="2">
        <f t="shared" si="20"/>
        <v>210028000</v>
      </c>
      <c r="G321" s="2">
        <v>3659559000</v>
      </c>
      <c r="H321" s="2">
        <v>106833000</v>
      </c>
      <c r="I321" s="1">
        <f t="shared" si="21"/>
        <v>6131318.370328228</v>
      </c>
      <c r="J321" s="1">
        <f t="shared" si="22"/>
        <v>2.9192861762851754</v>
      </c>
      <c r="K321" s="1">
        <f t="shared" si="23"/>
        <v>7540775000</v>
      </c>
      <c r="L321" s="17">
        <f t="shared" si="24"/>
        <v>2.9192861762851754</v>
      </c>
    </row>
    <row r="322" spans="1:12" x14ac:dyDescent="0.3">
      <c r="A322" s="1" t="s">
        <v>91</v>
      </c>
      <c r="B322" s="11">
        <v>2024</v>
      </c>
      <c r="C322" s="1" t="s">
        <v>105</v>
      </c>
      <c r="D322" s="2">
        <v>650</v>
      </c>
      <c r="E322" s="2">
        <v>53121</v>
      </c>
      <c r="F322" s="2">
        <f t="shared" ref="F322:F385" si="25">E322*D322</f>
        <v>34528650</v>
      </c>
      <c r="G322" s="2">
        <v>3659559000</v>
      </c>
      <c r="H322" s="2">
        <v>106833000</v>
      </c>
      <c r="I322" s="1">
        <f t="shared" si="21"/>
        <v>1007990.1063078911</v>
      </c>
      <c r="J322" s="1">
        <f t="shared" si="22"/>
        <v>2.9192861762851749</v>
      </c>
      <c r="K322" s="1">
        <f t="shared" si="23"/>
        <v>7540775000</v>
      </c>
      <c r="L322" s="17">
        <f t="shared" si="24"/>
        <v>2.9192861762851754</v>
      </c>
    </row>
    <row r="323" spans="1:12" x14ac:dyDescent="0.3">
      <c r="A323" s="1" t="s">
        <v>91</v>
      </c>
      <c r="B323" s="11">
        <v>2024</v>
      </c>
      <c r="C323" s="1" t="s">
        <v>106</v>
      </c>
      <c r="D323" s="2">
        <v>1800</v>
      </c>
      <c r="E323" s="2">
        <v>53817</v>
      </c>
      <c r="F323" s="2">
        <f t="shared" si="25"/>
        <v>96870600</v>
      </c>
      <c r="G323" s="2">
        <v>3659559000</v>
      </c>
      <c r="H323" s="2">
        <v>106833000</v>
      </c>
      <c r="I323" s="1">
        <f t="shared" ref="I323:I386" si="26">IF(F323&gt;0,H323*(F323/G323),0)</f>
        <v>2827930.0346845067</v>
      </c>
      <c r="J323" s="1">
        <f t="shared" ref="J323:J386" si="27">IF(F323&gt;0,I323/F323*100,0)</f>
        <v>2.9192861762851749</v>
      </c>
      <c r="K323" s="1">
        <f t="shared" ref="K323:K386" si="28">SUMIF(A:A,A323,H:H)</f>
        <v>7540775000</v>
      </c>
      <c r="L323" s="17">
        <f t="shared" ref="L323:L386" si="29">IF(G323&gt;0,H323/G323*100,0)</f>
        <v>2.9192861762851754</v>
      </c>
    </row>
    <row r="324" spans="1:12" x14ac:dyDescent="0.3">
      <c r="A324" s="1" t="s">
        <v>91</v>
      </c>
      <c r="B324" s="11">
        <v>2024</v>
      </c>
      <c r="C324" s="1" t="s">
        <v>107</v>
      </c>
      <c r="D324" s="2">
        <v>2800</v>
      </c>
      <c r="E324" s="2">
        <v>55325</v>
      </c>
      <c r="F324" s="2">
        <f t="shared" si="25"/>
        <v>154910000</v>
      </c>
      <c r="G324" s="2">
        <v>3659559000</v>
      </c>
      <c r="H324" s="2">
        <v>106833000</v>
      </c>
      <c r="I324" s="1">
        <f t="shared" si="26"/>
        <v>4522266.2156833652</v>
      </c>
      <c r="J324" s="1">
        <f t="shared" si="27"/>
        <v>2.9192861762851754</v>
      </c>
      <c r="K324" s="1">
        <f t="shared" si="28"/>
        <v>7540775000</v>
      </c>
      <c r="L324" s="17">
        <f t="shared" si="29"/>
        <v>2.9192861762851754</v>
      </c>
    </row>
    <row r="325" spans="1:12" x14ac:dyDescent="0.3">
      <c r="A325" s="1" t="s">
        <v>91</v>
      </c>
      <c r="B325" s="11">
        <v>2024</v>
      </c>
      <c r="C325" s="1" t="s">
        <v>108</v>
      </c>
      <c r="D325" s="2">
        <v>4100</v>
      </c>
      <c r="E325" s="2">
        <v>55944</v>
      </c>
      <c r="F325" s="2">
        <f t="shared" si="25"/>
        <v>229370400</v>
      </c>
      <c r="G325" s="2">
        <v>3659559000</v>
      </c>
      <c r="H325" s="2">
        <v>106833000</v>
      </c>
      <c r="I325" s="1">
        <f t="shared" si="26"/>
        <v>6695978.379690012</v>
      </c>
      <c r="J325" s="1">
        <f t="shared" si="27"/>
        <v>2.9192861762851754</v>
      </c>
      <c r="K325" s="1">
        <f t="shared" si="28"/>
        <v>7540775000</v>
      </c>
      <c r="L325" s="17">
        <f t="shared" si="29"/>
        <v>2.9192861762851754</v>
      </c>
    </row>
    <row r="326" spans="1:12" x14ac:dyDescent="0.3">
      <c r="A326" s="1" t="s">
        <v>109</v>
      </c>
      <c r="B326" s="11">
        <v>2022</v>
      </c>
      <c r="C326" s="1" t="s">
        <v>110</v>
      </c>
      <c r="D326" s="2">
        <v>57480</v>
      </c>
      <c r="E326" s="2">
        <v>59339</v>
      </c>
      <c r="F326" s="2">
        <f t="shared" si="25"/>
        <v>3410805720</v>
      </c>
      <c r="G326" s="2">
        <v>30538000</v>
      </c>
      <c r="H326" s="2">
        <v>373000</v>
      </c>
      <c r="I326" s="1">
        <f t="shared" si="26"/>
        <v>41660571.535791472</v>
      </c>
      <c r="J326" s="1">
        <f t="shared" si="27"/>
        <v>1.2214290392298119</v>
      </c>
      <c r="K326" s="1">
        <f t="shared" si="28"/>
        <v>30719000</v>
      </c>
      <c r="L326" s="17">
        <f t="shared" si="29"/>
        <v>1.2214290392298119</v>
      </c>
    </row>
    <row r="327" spans="1:12" x14ac:dyDescent="0.3">
      <c r="A327" s="1" t="s">
        <v>109</v>
      </c>
      <c r="B327" s="11">
        <v>2022</v>
      </c>
      <c r="C327" s="1" t="s">
        <v>111</v>
      </c>
      <c r="D327" s="2">
        <v>51730</v>
      </c>
      <c r="E327" s="2">
        <v>60502</v>
      </c>
      <c r="F327" s="2">
        <f t="shared" si="25"/>
        <v>3129768460</v>
      </c>
      <c r="G327" s="2">
        <v>30538000</v>
      </c>
      <c r="H327" s="2">
        <v>373000</v>
      </c>
      <c r="I327" s="1">
        <f t="shared" si="26"/>
        <v>38227900.831095688</v>
      </c>
      <c r="J327" s="1">
        <f t="shared" si="27"/>
        <v>1.2214290392298122</v>
      </c>
      <c r="K327" s="1">
        <f t="shared" si="28"/>
        <v>30719000</v>
      </c>
      <c r="L327" s="17">
        <f t="shared" si="29"/>
        <v>1.2214290392298119</v>
      </c>
    </row>
    <row r="328" spans="1:12" x14ac:dyDescent="0.3">
      <c r="A328" s="1" t="s">
        <v>109</v>
      </c>
      <c r="B328" s="11">
        <v>2022</v>
      </c>
      <c r="C328" s="1" t="s">
        <v>112</v>
      </c>
      <c r="D328" s="2">
        <v>45620</v>
      </c>
      <c r="E328" s="2">
        <v>63401</v>
      </c>
      <c r="F328" s="2">
        <f t="shared" si="25"/>
        <v>2892353620</v>
      </c>
      <c r="G328" s="2">
        <v>30538000</v>
      </c>
      <c r="H328" s="2">
        <v>373000</v>
      </c>
      <c r="I328" s="1">
        <f t="shared" si="26"/>
        <v>35328047.031894684</v>
      </c>
      <c r="J328" s="1">
        <f t="shared" si="27"/>
        <v>1.2214290392298119</v>
      </c>
      <c r="K328" s="1">
        <f t="shared" si="28"/>
        <v>30719000</v>
      </c>
      <c r="L328" s="17">
        <f t="shared" si="29"/>
        <v>1.2214290392298119</v>
      </c>
    </row>
    <row r="329" spans="1:12" x14ac:dyDescent="0.3">
      <c r="A329" s="1" t="s">
        <v>109</v>
      </c>
      <c r="B329" s="11">
        <v>2022</v>
      </c>
      <c r="C329" s="1" t="s">
        <v>113</v>
      </c>
      <c r="D329" s="2">
        <v>38960</v>
      </c>
      <c r="E329" s="2">
        <v>64282</v>
      </c>
      <c r="F329" s="2">
        <f t="shared" si="25"/>
        <v>2504426720</v>
      </c>
      <c r="G329" s="2">
        <v>30538000</v>
      </c>
      <c r="H329" s="2">
        <v>373000</v>
      </c>
      <c r="I329" s="1">
        <f t="shared" si="26"/>
        <v>30589795.224310696</v>
      </c>
      <c r="J329" s="1">
        <f t="shared" si="27"/>
        <v>1.2214290392298119</v>
      </c>
      <c r="K329" s="1">
        <f t="shared" si="28"/>
        <v>30719000</v>
      </c>
      <c r="L329" s="17">
        <f t="shared" si="29"/>
        <v>1.2214290392298119</v>
      </c>
    </row>
    <row r="330" spans="1:12" x14ac:dyDescent="0.3">
      <c r="A330" s="1" t="s">
        <v>109</v>
      </c>
      <c r="B330" s="11">
        <v>2022</v>
      </c>
      <c r="C330" s="1" t="s">
        <v>114</v>
      </c>
      <c r="D330" s="2">
        <v>37080</v>
      </c>
      <c r="E330" s="2">
        <v>71499</v>
      </c>
      <c r="F330" s="2">
        <f t="shared" si="25"/>
        <v>2651182920</v>
      </c>
      <c r="G330" s="2">
        <v>30538000</v>
      </c>
      <c r="H330" s="2">
        <v>373000</v>
      </c>
      <c r="I330" s="1">
        <f t="shared" si="26"/>
        <v>32382318.067980878</v>
      </c>
      <c r="J330" s="1">
        <f t="shared" si="27"/>
        <v>1.2214290392298119</v>
      </c>
      <c r="K330" s="1">
        <f t="shared" si="28"/>
        <v>30719000</v>
      </c>
      <c r="L330" s="17">
        <f t="shared" si="29"/>
        <v>1.2214290392298119</v>
      </c>
    </row>
    <row r="331" spans="1:12" x14ac:dyDescent="0.3">
      <c r="A331" s="1" t="s">
        <v>109</v>
      </c>
      <c r="B331" s="11">
        <v>2022</v>
      </c>
      <c r="C331" s="1" t="s">
        <v>115</v>
      </c>
      <c r="D331" s="2">
        <v>36370</v>
      </c>
      <c r="E331" s="2">
        <v>72437</v>
      </c>
      <c r="F331" s="2">
        <f t="shared" si="25"/>
        <v>2634533690</v>
      </c>
      <c r="G331" s="2">
        <v>30538000</v>
      </c>
      <c r="H331" s="2">
        <v>373000</v>
      </c>
      <c r="I331" s="1">
        <f t="shared" si="26"/>
        <v>32178959.537952717</v>
      </c>
      <c r="J331" s="1">
        <f t="shared" si="27"/>
        <v>1.2214290392298122</v>
      </c>
      <c r="K331" s="1">
        <f t="shared" si="28"/>
        <v>30719000</v>
      </c>
      <c r="L331" s="17">
        <f t="shared" si="29"/>
        <v>1.2214290392298119</v>
      </c>
    </row>
    <row r="332" spans="1:12" x14ac:dyDescent="0.3">
      <c r="A332" s="1" t="s">
        <v>109</v>
      </c>
      <c r="B332" s="11">
        <v>2022</v>
      </c>
      <c r="C332" s="1" t="s">
        <v>116</v>
      </c>
      <c r="D332" s="2">
        <v>33110</v>
      </c>
      <c r="E332" s="2">
        <v>74225</v>
      </c>
      <c r="F332" s="2">
        <f t="shared" si="25"/>
        <v>2457589750</v>
      </c>
      <c r="G332" s="2">
        <v>30538000</v>
      </c>
      <c r="H332" s="2">
        <v>373000</v>
      </c>
      <c r="I332" s="1">
        <f t="shared" si="26"/>
        <v>30017714.871635336</v>
      </c>
      <c r="J332" s="1">
        <f t="shared" si="27"/>
        <v>1.2214290392298119</v>
      </c>
      <c r="K332" s="1">
        <f t="shared" si="28"/>
        <v>30719000</v>
      </c>
      <c r="L332" s="17">
        <f t="shared" si="29"/>
        <v>1.2214290392298119</v>
      </c>
    </row>
    <row r="333" spans="1:12" x14ac:dyDescent="0.3">
      <c r="A333" s="1" t="s">
        <v>109</v>
      </c>
      <c r="B333" s="11">
        <v>2022</v>
      </c>
      <c r="C333" s="1" t="s">
        <v>111</v>
      </c>
      <c r="D333" s="2">
        <v>58650</v>
      </c>
      <c r="E333" s="2">
        <v>76881</v>
      </c>
      <c r="F333" s="2">
        <f t="shared" si="25"/>
        <v>4509070650</v>
      </c>
      <c r="G333" s="2">
        <v>30538000</v>
      </c>
      <c r="H333" s="2">
        <v>373000</v>
      </c>
      <c r="I333" s="1">
        <f t="shared" si="26"/>
        <v>55075098.318488434</v>
      </c>
      <c r="J333" s="1">
        <f t="shared" si="27"/>
        <v>1.2214290392298119</v>
      </c>
      <c r="K333" s="1">
        <f t="shared" si="28"/>
        <v>30719000</v>
      </c>
      <c r="L333" s="17">
        <f t="shared" si="29"/>
        <v>1.2214290392298119</v>
      </c>
    </row>
    <row r="334" spans="1:12" x14ac:dyDescent="0.3">
      <c r="A334" s="1" t="s">
        <v>109</v>
      </c>
      <c r="B334" s="11">
        <v>2022</v>
      </c>
      <c r="C334" s="1" t="s">
        <v>112</v>
      </c>
      <c r="D334" s="2">
        <v>52030</v>
      </c>
      <c r="E334" s="2">
        <v>78155</v>
      </c>
      <c r="F334" s="2">
        <f t="shared" si="25"/>
        <v>4066404650</v>
      </c>
      <c r="G334" s="2">
        <v>30538000</v>
      </c>
      <c r="H334" s="2">
        <v>373000</v>
      </c>
      <c r="I334" s="1">
        <f t="shared" si="26"/>
        <v>49668247.2476914</v>
      </c>
      <c r="J334" s="1">
        <f t="shared" si="27"/>
        <v>1.2214290392298119</v>
      </c>
      <c r="K334" s="1">
        <f t="shared" si="28"/>
        <v>30719000</v>
      </c>
      <c r="L334" s="17">
        <f t="shared" si="29"/>
        <v>1.2214290392298119</v>
      </c>
    </row>
    <row r="335" spans="1:12" x14ac:dyDescent="0.3">
      <c r="A335" s="1" t="s">
        <v>109</v>
      </c>
      <c r="B335" s="11">
        <v>2022</v>
      </c>
      <c r="C335" s="1" t="s">
        <v>113</v>
      </c>
      <c r="D335" s="2">
        <v>44100</v>
      </c>
      <c r="E335" s="2">
        <v>78674</v>
      </c>
      <c r="F335" s="2">
        <f t="shared" si="25"/>
        <v>3469523400</v>
      </c>
      <c r="G335" s="2">
        <v>30538000</v>
      </c>
      <c r="H335" s="2">
        <v>373000</v>
      </c>
      <c r="I335" s="1">
        <f t="shared" si="26"/>
        <v>42377766.330473505</v>
      </c>
      <c r="J335" s="1">
        <f t="shared" si="27"/>
        <v>1.2214290392298119</v>
      </c>
      <c r="K335" s="1">
        <f t="shared" si="28"/>
        <v>30719000</v>
      </c>
      <c r="L335" s="17">
        <f t="shared" si="29"/>
        <v>1.2214290392298119</v>
      </c>
    </row>
    <row r="336" spans="1:12" x14ac:dyDescent="0.3">
      <c r="A336" s="1" t="s">
        <v>109</v>
      </c>
      <c r="B336" s="11">
        <v>2022</v>
      </c>
      <c r="C336" s="1" t="s">
        <v>114</v>
      </c>
      <c r="D336" s="2">
        <v>43640</v>
      </c>
      <c r="E336" s="2">
        <v>80860</v>
      </c>
      <c r="F336" s="2">
        <f t="shared" si="25"/>
        <v>3528730400</v>
      </c>
      <c r="G336" s="2">
        <v>30538000</v>
      </c>
      <c r="H336" s="2">
        <v>373000</v>
      </c>
      <c r="I336" s="1">
        <f t="shared" si="26"/>
        <v>43100937.821730301</v>
      </c>
      <c r="J336" s="1">
        <f t="shared" si="27"/>
        <v>1.2214290392298119</v>
      </c>
      <c r="K336" s="1">
        <f t="shared" si="28"/>
        <v>30719000</v>
      </c>
      <c r="L336" s="17">
        <f t="shared" si="29"/>
        <v>1.2214290392298119</v>
      </c>
    </row>
    <row r="337" spans="1:12" x14ac:dyDescent="0.3">
      <c r="A337" s="1" t="s">
        <v>109</v>
      </c>
      <c r="B337" s="11">
        <v>2022</v>
      </c>
      <c r="C337" s="1" t="s">
        <v>115</v>
      </c>
      <c r="D337" s="2">
        <v>41350</v>
      </c>
      <c r="E337" s="2">
        <v>83000</v>
      </c>
      <c r="F337" s="2">
        <f t="shared" si="25"/>
        <v>3432050000</v>
      </c>
      <c r="G337" s="2">
        <v>30538000</v>
      </c>
      <c r="H337" s="2">
        <v>373000</v>
      </c>
      <c r="I337" s="1">
        <f t="shared" si="26"/>
        <v>41920055.340886764</v>
      </c>
      <c r="J337" s="1">
        <f t="shared" si="27"/>
        <v>1.2214290392298119</v>
      </c>
      <c r="K337" s="1">
        <f t="shared" si="28"/>
        <v>30719000</v>
      </c>
      <c r="L337" s="17">
        <f t="shared" si="29"/>
        <v>1.2214290392298119</v>
      </c>
    </row>
    <row r="338" spans="1:12" x14ac:dyDescent="0.3">
      <c r="A338" s="1" t="s">
        <v>109</v>
      </c>
      <c r="B338" s="11">
        <v>2022</v>
      </c>
      <c r="C338" s="1" t="s">
        <v>116</v>
      </c>
      <c r="D338" s="2">
        <v>37640</v>
      </c>
      <c r="E338" s="2">
        <v>83471</v>
      </c>
      <c r="F338" s="2">
        <f t="shared" si="25"/>
        <v>3141848440</v>
      </c>
      <c r="G338" s="2">
        <v>30538000</v>
      </c>
      <c r="H338" s="2">
        <v>373000</v>
      </c>
      <c r="I338" s="1">
        <f t="shared" si="26"/>
        <v>38375449.214748837</v>
      </c>
      <c r="J338" s="1">
        <f t="shared" si="27"/>
        <v>1.2214290392298119</v>
      </c>
      <c r="K338" s="1">
        <f t="shared" si="28"/>
        <v>30719000</v>
      </c>
      <c r="L338" s="17">
        <f t="shared" si="29"/>
        <v>1.2214290392298119</v>
      </c>
    </row>
    <row r="339" spans="1:12" x14ac:dyDescent="0.3">
      <c r="A339" s="1" t="s">
        <v>109</v>
      </c>
      <c r="B339" s="11">
        <v>2023</v>
      </c>
      <c r="C339" s="1" t="s">
        <v>110</v>
      </c>
      <c r="D339" s="2">
        <v>57480</v>
      </c>
      <c r="E339" s="2">
        <v>83772</v>
      </c>
      <c r="F339" s="2">
        <f t="shared" si="25"/>
        <v>4815214560</v>
      </c>
      <c r="G339" s="2">
        <v>19535000</v>
      </c>
      <c r="H339" s="2">
        <v>963000</v>
      </c>
      <c r="I339" s="1">
        <f t="shared" si="26"/>
        <v>237371467.68773997</v>
      </c>
      <c r="J339" s="1">
        <f t="shared" si="27"/>
        <v>4.9296135142052728</v>
      </c>
      <c r="K339" s="1">
        <f t="shared" si="28"/>
        <v>30719000</v>
      </c>
      <c r="L339" s="17">
        <f t="shared" si="29"/>
        <v>4.9296135142052728</v>
      </c>
    </row>
    <row r="340" spans="1:12" x14ac:dyDescent="0.3">
      <c r="A340" s="1" t="s">
        <v>109</v>
      </c>
      <c r="B340" s="11">
        <v>2023</v>
      </c>
      <c r="C340" s="1" t="s">
        <v>111</v>
      </c>
      <c r="D340" s="2">
        <v>51730</v>
      </c>
      <c r="E340" s="2">
        <v>84538</v>
      </c>
      <c r="F340" s="2">
        <f t="shared" si="25"/>
        <v>4373150740</v>
      </c>
      <c r="G340" s="2">
        <v>19535000</v>
      </c>
      <c r="H340" s="2">
        <v>963000</v>
      </c>
      <c r="I340" s="1">
        <f t="shared" si="26"/>
        <v>215579429.87560788</v>
      </c>
      <c r="J340" s="1">
        <f t="shared" si="27"/>
        <v>4.9296135142052719</v>
      </c>
      <c r="K340" s="1">
        <f t="shared" si="28"/>
        <v>30719000</v>
      </c>
      <c r="L340" s="17">
        <f t="shared" si="29"/>
        <v>4.9296135142052728</v>
      </c>
    </row>
    <row r="341" spans="1:12" x14ac:dyDescent="0.3">
      <c r="A341" s="1" t="s">
        <v>109</v>
      </c>
      <c r="B341" s="11">
        <v>2023</v>
      </c>
      <c r="C341" s="1" t="s">
        <v>112</v>
      </c>
      <c r="D341" s="2">
        <v>45620</v>
      </c>
      <c r="E341" s="2">
        <v>85800</v>
      </c>
      <c r="F341" s="2">
        <f t="shared" si="25"/>
        <v>3914196000</v>
      </c>
      <c r="G341" s="2">
        <v>19535000</v>
      </c>
      <c r="H341" s="2">
        <v>963000</v>
      </c>
      <c r="I341" s="1">
        <f t="shared" si="26"/>
        <v>192954734.98848221</v>
      </c>
      <c r="J341" s="1">
        <f t="shared" si="27"/>
        <v>4.9296135142052719</v>
      </c>
      <c r="K341" s="1">
        <f t="shared" si="28"/>
        <v>30719000</v>
      </c>
      <c r="L341" s="17">
        <f t="shared" si="29"/>
        <v>4.9296135142052728</v>
      </c>
    </row>
    <row r="342" spans="1:12" x14ac:dyDescent="0.3">
      <c r="A342" s="1" t="s">
        <v>109</v>
      </c>
      <c r="B342" s="11">
        <v>2023</v>
      </c>
      <c r="C342" s="1" t="s">
        <v>113</v>
      </c>
      <c r="D342" s="2">
        <v>38960</v>
      </c>
      <c r="E342" s="2">
        <v>86727</v>
      </c>
      <c r="F342" s="2">
        <f t="shared" si="25"/>
        <v>3378883920</v>
      </c>
      <c r="G342" s="2">
        <v>19535000</v>
      </c>
      <c r="H342" s="2">
        <v>963000</v>
      </c>
      <c r="I342" s="1">
        <f t="shared" si="26"/>
        <v>166565918.34962887</v>
      </c>
      <c r="J342" s="1">
        <f t="shared" si="27"/>
        <v>4.9296135142052719</v>
      </c>
      <c r="K342" s="1">
        <f t="shared" si="28"/>
        <v>30719000</v>
      </c>
      <c r="L342" s="17">
        <f t="shared" si="29"/>
        <v>4.9296135142052728</v>
      </c>
    </row>
    <row r="343" spans="1:12" x14ac:dyDescent="0.3">
      <c r="A343" s="1" t="s">
        <v>109</v>
      </c>
      <c r="B343" s="11">
        <v>2023</v>
      </c>
      <c r="C343" s="1" t="s">
        <v>114</v>
      </c>
      <c r="D343" s="2">
        <v>37080</v>
      </c>
      <c r="E343" s="2">
        <v>87920</v>
      </c>
      <c r="F343" s="2">
        <f t="shared" si="25"/>
        <v>3260073600</v>
      </c>
      <c r="G343" s="2">
        <v>19535000</v>
      </c>
      <c r="H343" s="2">
        <v>963000</v>
      </c>
      <c r="I343" s="1">
        <f t="shared" si="26"/>
        <v>160709028.75863835</v>
      </c>
      <c r="J343" s="1">
        <f t="shared" si="27"/>
        <v>4.9296135142052728</v>
      </c>
      <c r="K343" s="1">
        <f t="shared" si="28"/>
        <v>30719000</v>
      </c>
      <c r="L343" s="17">
        <f t="shared" si="29"/>
        <v>4.9296135142052728</v>
      </c>
    </row>
    <row r="344" spans="1:12" x14ac:dyDescent="0.3">
      <c r="A344" s="1" t="s">
        <v>109</v>
      </c>
      <c r="B344" s="11">
        <v>2023</v>
      </c>
      <c r="C344" s="1" t="s">
        <v>115</v>
      </c>
      <c r="D344" s="2">
        <v>36370</v>
      </c>
      <c r="E344" s="2">
        <v>88268</v>
      </c>
      <c r="F344" s="2">
        <f t="shared" si="25"/>
        <v>3210307160</v>
      </c>
      <c r="G344" s="2">
        <v>19535000</v>
      </c>
      <c r="H344" s="2">
        <v>963000</v>
      </c>
      <c r="I344" s="1">
        <f t="shared" si="26"/>
        <v>158255735.60685951</v>
      </c>
      <c r="J344" s="1">
        <f t="shared" si="27"/>
        <v>4.9296135142052737</v>
      </c>
      <c r="K344" s="1">
        <f t="shared" si="28"/>
        <v>30719000</v>
      </c>
      <c r="L344" s="17">
        <f t="shared" si="29"/>
        <v>4.9296135142052728</v>
      </c>
    </row>
    <row r="345" spans="1:12" x14ac:dyDescent="0.3">
      <c r="A345" s="1" t="s">
        <v>109</v>
      </c>
      <c r="B345" s="11">
        <v>2023</v>
      </c>
      <c r="C345" s="1" t="s">
        <v>116</v>
      </c>
      <c r="D345" s="2">
        <v>33110</v>
      </c>
      <c r="E345" s="2">
        <v>90658</v>
      </c>
      <c r="F345" s="2">
        <f t="shared" si="25"/>
        <v>3001686380</v>
      </c>
      <c r="G345" s="2">
        <v>19535000</v>
      </c>
      <c r="H345" s="2">
        <v>963000</v>
      </c>
      <c r="I345" s="1">
        <f t="shared" si="26"/>
        <v>147971537.44253904</v>
      </c>
      <c r="J345" s="1">
        <f t="shared" si="27"/>
        <v>4.9296135142052728</v>
      </c>
      <c r="K345" s="1">
        <f t="shared" si="28"/>
        <v>30719000</v>
      </c>
      <c r="L345" s="17">
        <f t="shared" si="29"/>
        <v>4.9296135142052728</v>
      </c>
    </row>
    <row r="346" spans="1:12" x14ac:dyDescent="0.3">
      <c r="A346" s="1" t="s">
        <v>109</v>
      </c>
      <c r="B346" s="11">
        <v>2023</v>
      </c>
      <c r="C346" s="1" t="s">
        <v>111</v>
      </c>
      <c r="D346" s="2">
        <v>58650</v>
      </c>
      <c r="E346" s="2">
        <v>93594</v>
      </c>
      <c r="F346" s="2">
        <f t="shared" si="25"/>
        <v>5489288100</v>
      </c>
      <c r="G346" s="2">
        <v>19535000</v>
      </c>
      <c r="H346" s="2">
        <v>963000</v>
      </c>
      <c r="I346" s="1">
        <f t="shared" si="26"/>
        <v>270600688.01126182</v>
      </c>
      <c r="J346" s="1">
        <f t="shared" si="27"/>
        <v>4.9296135142052719</v>
      </c>
      <c r="K346" s="1">
        <f t="shared" si="28"/>
        <v>30719000</v>
      </c>
      <c r="L346" s="17">
        <f t="shared" si="29"/>
        <v>4.9296135142052728</v>
      </c>
    </row>
    <row r="347" spans="1:12" x14ac:dyDescent="0.3">
      <c r="A347" s="1" t="s">
        <v>109</v>
      </c>
      <c r="B347" s="11">
        <v>2023</v>
      </c>
      <c r="C347" s="1" t="s">
        <v>112</v>
      </c>
      <c r="D347" s="2">
        <v>52030</v>
      </c>
      <c r="E347" s="2">
        <v>95320</v>
      </c>
      <c r="F347" s="2">
        <f t="shared" si="25"/>
        <v>4959499600</v>
      </c>
      <c r="G347" s="2">
        <v>19535000</v>
      </c>
      <c r="H347" s="2">
        <v>963000</v>
      </c>
      <c r="I347" s="1">
        <f t="shared" si="26"/>
        <v>244484162.51855645</v>
      </c>
      <c r="J347" s="1">
        <f t="shared" si="27"/>
        <v>4.9296135142052728</v>
      </c>
      <c r="K347" s="1">
        <f t="shared" si="28"/>
        <v>30719000</v>
      </c>
      <c r="L347" s="17">
        <f t="shared" si="29"/>
        <v>4.9296135142052728</v>
      </c>
    </row>
    <row r="348" spans="1:12" x14ac:dyDescent="0.3">
      <c r="A348" s="1" t="s">
        <v>109</v>
      </c>
      <c r="B348" s="11">
        <v>2023</v>
      </c>
      <c r="C348" s="1" t="s">
        <v>113</v>
      </c>
      <c r="D348" s="2">
        <v>44100</v>
      </c>
      <c r="E348" s="2">
        <v>97849</v>
      </c>
      <c r="F348" s="2">
        <f t="shared" si="25"/>
        <v>4315140900</v>
      </c>
      <c r="G348" s="2">
        <v>19535000</v>
      </c>
      <c r="H348" s="2">
        <v>963000</v>
      </c>
      <c r="I348" s="1">
        <f t="shared" si="26"/>
        <v>212719768.96339902</v>
      </c>
      <c r="J348" s="1">
        <f t="shared" si="27"/>
        <v>4.9296135142052719</v>
      </c>
      <c r="K348" s="1">
        <f t="shared" si="28"/>
        <v>30719000</v>
      </c>
      <c r="L348" s="17">
        <f t="shared" si="29"/>
        <v>4.9296135142052728</v>
      </c>
    </row>
    <row r="349" spans="1:12" x14ac:dyDescent="0.3">
      <c r="A349" s="1" t="s">
        <v>109</v>
      </c>
      <c r="B349" s="11">
        <v>2023</v>
      </c>
      <c r="C349" s="1" t="s">
        <v>114</v>
      </c>
      <c r="D349" s="2">
        <v>43640</v>
      </c>
      <c r="E349" s="2">
        <v>107457</v>
      </c>
      <c r="F349" s="2">
        <f t="shared" si="25"/>
        <v>4689423480</v>
      </c>
      <c r="G349" s="2">
        <v>19535000</v>
      </c>
      <c r="H349" s="2">
        <v>963000</v>
      </c>
      <c r="I349" s="1">
        <f t="shared" si="26"/>
        <v>231170453.60839519</v>
      </c>
      <c r="J349" s="1">
        <f t="shared" si="27"/>
        <v>4.9296135142052728</v>
      </c>
      <c r="K349" s="1">
        <f t="shared" si="28"/>
        <v>30719000</v>
      </c>
      <c r="L349" s="17">
        <f t="shared" si="29"/>
        <v>4.9296135142052728</v>
      </c>
    </row>
    <row r="350" spans="1:12" x14ac:dyDescent="0.3">
      <c r="A350" s="1" t="s">
        <v>109</v>
      </c>
      <c r="B350" s="11">
        <v>2023</v>
      </c>
      <c r="C350" s="1" t="s">
        <v>115</v>
      </c>
      <c r="D350" s="2">
        <v>41350</v>
      </c>
      <c r="E350" s="2">
        <v>107463</v>
      </c>
      <c r="F350" s="2">
        <f t="shared" si="25"/>
        <v>4443595050</v>
      </c>
      <c r="G350" s="2">
        <v>19535000</v>
      </c>
      <c r="H350" s="2">
        <v>963000</v>
      </c>
      <c r="I350" s="1">
        <f t="shared" si="26"/>
        <v>219052062.10135654</v>
      </c>
      <c r="J350" s="1">
        <f t="shared" si="27"/>
        <v>4.9296135142052728</v>
      </c>
      <c r="K350" s="1">
        <f t="shared" si="28"/>
        <v>30719000</v>
      </c>
      <c r="L350" s="17">
        <f t="shared" si="29"/>
        <v>4.9296135142052728</v>
      </c>
    </row>
    <row r="351" spans="1:12" x14ac:dyDescent="0.3">
      <c r="A351" s="1" t="s">
        <v>109</v>
      </c>
      <c r="B351" s="11">
        <v>2023</v>
      </c>
      <c r="C351" s="1" t="s">
        <v>116</v>
      </c>
      <c r="D351" s="2">
        <v>37640</v>
      </c>
      <c r="E351" s="2">
        <v>107634</v>
      </c>
      <c r="F351" s="2">
        <f t="shared" si="25"/>
        <v>4051343760</v>
      </c>
      <c r="G351" s="2">
        <v>19535000</v>
      </c>
      <c r="H351" s="2">
        <v>963000</v>
      </c>
      <c r="I351" s="1">
        <f t="shared" si="26"/>
        <v>199715589.49987203</v>
      </c>
      <c r="J351" s="1">
        <f t="shared" si="27"/>
        <v>4.9296135142052728</v>
      </c>
      <c r="K351" s="1">
        <f t="shared" si="28"/>
        <v>30719000</v>
      </c>
      <c r="L351" s="17">
        <f t="shared" si="29"/>
        <v>4.9296135142052728</v>
      </c>
    </row>
    <row r="352" spans="1:12" x14ac:dyDescent="0.3">
      <c r="A352" s="1" t="s">
        <v>109</v>
      </c>
      <c r="B352" s="11">
        <v>2024</v>
      </c>
      <c r="C352" s="1" t="s">
        <v>110</v>
      </c>
      <c r="D352" s="2">
        <v>57480</v>
      </c>
      <c r="E352" s="2">
        <v>109324</v>
      </c>
      <c r="F352" s="2">
        <f t="shared" si="25"/>
        <v>6283943520</v>
      </c>
      <c r="G352" s="2">
        <v>78213000</v>
      </c>
      <c r="H352" s="2">
        <v>1027000</v>
      </c>
      <c r="I352" s="1">
        <f t="shared" si="26"/>
        <v>82513264.994821832</v>
      </c>
      <c r="J352" s="1">
        <f t="shared" si="27"/>
        <v>1.3130809456228505</v>
      </c>
      <c r="K352" s="1">
        <f t="shared" si="28"/>
        <v>30719000</v>
      </c>
      <c r="L352" s="17">
        <f t="shared" si="29"/>
        <v>1.3130809456228505</v>
      </c>
    </row>
    <row r="353" spans="1:12" x14ac:dyDescent="0.3">
      <c r="A353" s="1" t="s">
        <v>109</v>
      </c>
      <c r="B353" s="11">
        <v>2024</v>
      </c>
      <c r="C353" s="1" t="s">
        <v>111</v>
      </c>
      <c r="D353" s="2">
        <v>51730</v>
      </c>
      <c r="E353" s="2">
        <v>113299</v>
      </c>
      <c r="F353" s="2">
        <f t="shared" si="25"/>
        <v>5860957270</v>
      </c>
      <c r="G353" s="2">
        <v>78213000</v>
      </c>
      <c r="H353" s="2">
        <v>1027000</v>
      </c>
      <c r="I353" s="1">
        <f t="shared" si="26"/>
        <v>76959113.143467203</v>
      </c>
      <c r="J353" s="1">
        <f t="shared" si="27"/>
        <v>1.3130809456228505</v>
      </c>
      <c r="K353" s="1">
        <f t="shared" si="28"/>
        <v>30719000</v>
      </c>
      <c r="L353" s="17">
        <f t="shared" si="29"/>
        <v>1.3130809456228505</v>
      </c>
    </row>
    <row r="354" spans="1:12" x14ac:dyDescent="0.3">
      <c r="A354" s="1" t="s">
        <v>109</v>
      </c>
      <c r="B354" s="11">
        <v>2024</v>
      </c>
      <c r="C354" s="1" t="s">
        <v>112</v>
      </c>
      <c r="D354" s="2">
        <v>45620</v>
      </c>
      <c r="E354" s="2">
        <v>114389</v>
      </c>
      <c r="F354" s="2">
        <f t="shared" si="25"/>
        <v>5218426180</v>
      </c>
      <c r="G354" s="2">
        <v>78213000</v>
      </c>
      <c r="H354" s="2">
        <v>1027000</v>
      </c>
      <c r="I354" s="1">
        <f t="shared" si="26"/>
        <v>68522159.830974385</v>
      </c>
      <c r="J354" s="1">
        <f t="shared" si="27"/>
        <v>1.3130809456228503</v>
      </c>
      <c r="K354" s="1">
        <f t="shared" si="28"/>
        <v>30719000</v>
      </c>
      <c r="L354" s="17">
        <f t="shared" si="29"/>
        <v>1.3130809456228505</v>
      </c>
    </row>
    <row r="355" spans="1:12" x14ac:dyDescent="0.3">
      <c r="A355" s="1" t="s">
        <v>109</v>
      </c>
      <c r="B355" s="11">
        <v>2024</v>
      </c>
      <c r="C355" s="1" t="s">
        <v>113</v>
      </c>
      <c r="D355" s="2">
        <v>38960</v>
      </c>
      <c r="E355" s="2">
        <v>119593</v>
      </c>
      <c r="F355" s="2">
        <f t="shared" si="25"/>
        <v>4659343280</v>
      </c>
      <c r="G355" s="2">
        <v>78213000</v>
      </c>
      <c r="H355" s="2">
        <v>1027000</v>
      </c>
      <c r="I355" s="1">
        <f t="shared" si="26"/>
        <v>61180948.800838739</v>
      </c>
      <c r="J355" s="1">
        <f t="shared" si="27"/>
        <v>1.3130809456228505</v>
      </c>
      <c r="K355" s="1">
        <f t="shared" si="28"/>
        <v>30719000</v>
      </c>
      <c r="L355" s="17">
        <f t="shared" si="29"/>
        <v>1.3130809456228505</v>
      </c>
    </row>
    <row r="356" spans="1:12" x14ac:dyDescent="0.3">
      <c r="A356" s="1" t="s">
        <v>109</v>
      </c>
      <c r="B356" s="11">
        <v>2024</v>
      </c>
      <c r="C356" s="1" t="s">
        <v>114</v>
      </c>
      <c r="D356" s="2">
        <v>37080</v>
      </c>
      <c r="E356" s="2">
        <v>119593</v>
      </c>
      <c r="F356" s="2">
        <f t="shared" si="25"/>
        <v>4434508440</v>
      </c>
      <c r="G356" s="2">
        <v>78213000</v>
      </c>
      <c r="H356" s="2">
        <v>1027000</v>
      </c>
      <c r="I356" s="1">
        <f t="shared" si="26"/>
        <v>58228685.35767711</v>
      </c>
      <c r="J356" s="1">
        <f t="shared" si="27"/>
        <v>1.3130809456228503</v>
      </c>
      <c r="K356" s="1">
        <f t="shared" si="28"/>
        <v>30719000</v>
      </c>
      <c r="L356" s="17">
        <f t="shared" si="29"/>
        <v>1.3130809456228505</v>
      </c>
    </row>
    <row r="357" spans="1:12" x14ac:dyDescent="0.3">
      <c r="A357" s="1" t="s">
        <v>109</v>
      </c>
      <c r="B357" s="11">
        <v>2024</v>
      </c>
      <c r="C357" s="1" t="s">
        <v>115</v>
      </c>
      <c r="D357" s="2">
        <v>36370</v>
      </c>
      <c r="E357" s="2">
        <v>126628</v>
      </c>
      <c r="F357" s="2">
        <f t="shared" si="25"/>
        <v>4605460360</v>
      </c>
      <c r="G357" s="2">
        <v>78213000</v>
      </c>
      <c r="H357" s="2">
        <v>1027000</v>
      </c>
      <c r="I357" s="1">
        <f t="shared" si="26"/>
        <v>60473422.445373528</v>
      </c>
      <c r="J357" s="1">
        <f t="shared" si="27"/>
        <v>1.3130809456228503</v>
      </c>
      <c r="K357" s="1">
        <f t="shared" si="28"/>
        <v>30719000</v>
      </c>
      <c r="L357" s="17">
        <f t="shared" si="29"/>
        <v>1.3130809456228505</v>
      </c>
    </row>
    <row r="358" spans="1:12" x14ac:dyDescent="0.3">
      <c r="A358" s="1" t="s">
        <v>109</v>
      </c>
      <c r="B358" s="11">
        <v>2024</v>
      </c>
      <c r="C358" s="1" t="s">
        <v>116</v>
      </c>
      <c r="D358" s="2">
        <v>33110</v>
      </c>
      <c r="E358" s="2">
        <v>126646</v>
      </c>
      <c r="F358" s="2">
        <f t="shared" si="25"/>
        <v>4193249060</v>
      </c>
      <c r="G358" s="2">
        <v>78213000</v>
      </c>
      <c r="H358" s="2">
        <v>1027000</v>
      </c>
      <c r="I358" s="1">
        <f t="shared" si="26"/>
        <v>55060754.40936929</v>
      </c>
      <c r="J358" s="1">
        <f t="shared" si="27"/>
        <v>1.3130809456228505</v>
      </c>
      <c r="K358" s="1">
        <f t="shared" si="28"/>
        <v>30719000</v>
      </c>
      <c r="L358" s="17">
        <f t="shared" si="29"/>
        <v>1.3130809456228505</v>
      </c>
    </row>
    <row r="359" spans="1:12" x14ac:dyDescent="0.3">
      <c r="A359" s="1" t="s">
        <v>109</v>
      </c>
      <c r="B359" s="11">
        <v>2024</v>
      </c>
      <c r="C359" s="1" t="s">
        <v>111</v>
      </c>
      <c r="D359" s="2">
        <v>58650</v>
      </c>
      <c r="E359" s="2">
        <v>127002</v>
      </c>
      <c r="F359" s="2">
        <f t="shared" si="25"/>
        <v>7448667300</v>
      </c>
      <c r="G359" s="2">
        <v>78213000</v>
      </c>
      <c r="H359" s="2">
        <v>1027000</v>
      </c>
      <c r="I359" s="1">
        <f t="shared" si="26"/>
        <v>97807031.01914005</v>
      </c>
      <c r="J359" s="1">
        <f t="shared" si="27"/>
        <v>1.3130809456228505</v>
      </c>
      <c r="K359" s="1">
        <f t="shared" si="28"/>
        <v>30719000</v>
      </c>
      <c r="L359" s="17">
        <f t="shared" si="29"/>
        <v>1.3130809456228505</v>
      </c>
    </row>
    <row r="360" spans="1:12" x14ac:dyDescent="0.3">
      <c r="A360" s="1" t="s">
        <v>109</v>
      </c>
      <c r="B360" s="11">
        <v>2024</v>
      </c>
      <c r="C360" s="1" t="s">
        <v>112</v>
      </c>
      <c r="D360" s="2">
        <v>52030</v>
      </c>
      <c r="E360" s="2">
        <v>138220</v>
      </c>
      <c r="F360" s="2">
        <f t="shared" si="25"/>
        <v>7191586600</v>
      </c>
      <c r="G360" s="2">
        <v>78213000</v>
      </c>
      <c r="H360" s="2">
        <v>1027000</v>
      </c>
      <c r="I360" s="1">
        <f t="shared" si="26"/>
        <v>94431353.332566202</v>
      </c>
      <c r="J360" s="1">
        <f t="shared" si="27"/>
        <v>1.3130809456228505</v>
      </c>
      <c r="K360" s="1">
        <f t="shared" si="28"/>
        <v>30719000</v>
      </c>
      <c r="L360" s="17">
        <f t="shared" si="29"/>
        <v>1.3130809456228505</v>
      </c>
    </row>
    <row r="361" spans="1:12" x14ac:dyDescent="0.3">
      <c r="A361" s="1" t="s">
        <v>109</v>
      </c>
      <c r="B361" s="11">
        <v>2024</v>
      </c>
      <c r="C361" s="1" t="s">
        <v>113</v>
      </c>
      <c r="D361" s="2">
        <v>44100</v>
      </c>
      <c r="E361" s="2">
        <v>145835</v>
      </c>
      <c r="F361" s="2">
        <f t="shared" si="25"/>
        <v>6431323500</v>
      </c>
      <c r="G361" s="2">
        <v>78213000</v>
      </c>
      <c r="H361" s="2">
        <v>1027000</v>
      </c>
      <c r="I361" s="1">
        <f t="shared" si="26"/>
        <v>84448483.4298646</v>
      </c>
      <c r="J361" s="1">
        <f t="shared" si="27"/>
        <v>1.3130809456228505</v>
      </c>
      <c r="K361" s="1">
        <f t="shared" si="28"/>
        <v>30719000</v>
      </c>
      <c r="L361" s="17">
        <f t="shared" si="29"/>
        <v>1.3130809456228505</v>
      </c>
    </row>
    <row r="362" spans="1:12" x14ac:dyDescent="0.3">
      <c r="A362" s="1" t="s">
        <v>109</v>
      </c>
      <c r="B362" s="11">
        <v>2024</v>
      </c>
      <c r="C362" s="1" t="s">
        <v>114</v>
      </c>
      <c r="D362" s="2">
        <v>43640</v>
      </c>
      <c r="E362" s="2">
        <v>146039</v>
      </c>
      <c r="F362" s="2">
        <f t="shared" si="25"/>
        <v>6373141960</v>
      </c>
      <c r="G362" s="2">
        <v>78213000</v>
      </c>
      <c r="H362" s="2">
        <v>1027000</v>
      </c>
      <c r="I362" s="1">
        <f t="shared" si="26"/>
        <v>83684512.714254677</v>
      </c>
      <c r="J362" s="1">
        <f t="shared" si="27"/>
        <v>1.3130809456228507</v>
      </c>
      <c r="K362" s="1">
        <f t="shared" si="28"/>
        <v>30719000</v>
      </c>
      <c r="L362" s="17">
        <f t="shared" si="29"/>
        <v>1.3130809456228505</v>
      </c>
    </row>
    <row r="363" spans="1:12" x14ac:dyDescent="0.3">
      <c r="A363" s="1" t="s">
        <v>109</v>
      </c>
      <c r="B363" s="11">
        <v>2024</v>
      </c>
      <c r="C363" s="1" t="s">
        <v>115</v>
      </c>
      <c r="D363" s="2">
        <v>41350</v>
      </c>
      <c r="E363" s="2">
        <v>148460</v>
      </c>
      <c r="F363" s="2">
        <f t="shared" si="25"/>
        <v>6138821000</v>
      </c>
      <c r="G363" s="2">
        <v>78213000</v>
      </c>
      <c r="H363" s="2">
        <v>1027000</v>
      </c>
      <c r="I363" s="1">
        <f t="shared" si="26"/>
        <v>80607688.836894125</v>
      </c>
      <c r="J363" s="1">
        <f t="shared" si="27"/>
        <v>1.3130809456228505</v>
      </c>
      <c r="K363" s="1">
        <f t="shared" si="28"/>
        <v>30719000</v>
      </c>
      <c r="L363" s="17">
        <f t="shared" si="29"/>
        <v>1.3130809456228505</v>
      </c>
    </row>
    <row r="364" spans="1:12" x14ac:dyDescent="0.3">
      <c r="A364" s="1" t="s">
        <v>109</v>
      </c>
      <c r="B364" s="11">
        <v>2024</v>
      </c>
      <c r="C364" s="1" t="s">
        <v>116</v>
      </c>
      <c r="D364" s="2">
        <v>37640</v>
      </c>
      <c r="E364" s="2">
        <v>149727</v>
      </c>
      <c r="F364" s="2">
        <f t="shared" si="25"/>
        <v>5635724280</v>
      </c>
      <c r="G364" s="2">
        <v>78213000</v>
      </c>
      <c r="H364" s="2">
        <v>1027000</v>
      </c>
      <c r="I364" s="1">
        <f t="shared" si="26"/>
        <v>74001621.66852057</v>
      </c>
      <c r="J364" s="1">
        <f t="shared" si="27"/>
        <v>1.3130809456228503</v>
      </c>
      <c r="K364" s="1">
        <f t="shared" si="28"/>
        <v>30719000</v>
      </c>
      <c r="L364" s="17">
        <f t="shared" si="29"/>
        <v>1.3130809456228505</v>
      </c>
    </row>
    <row r="365" spans="1:12" x14ac:dyDescent="0.3">
      <c r="A365" s="1" t="s">
        <v>117</v>
      </c>
      <c r="B365" s="11">
        <v>2022</v>
      </c>
      <c r="C365" s="1" t="s">
        <v>118</v>
      </c>
      <c r="D365" s="2">
        <v>2000</v>
      </c>
      <c r="E365" s="2">
        <v>154047</v>
      </c>
      <c r="F365" s="2">
        <f t="shared" si="25"/>
        <v>308094000</v>
      </c>
      <c r="G365" s="2">
        <v>1030000</v>
      </c>
      <c r="H365" s="2">
        <v>-172000</v>
      </c>
      <c r="I365" s="1">
        <f t="shared" si="26"/>
        <v>-51448706.796116501</v>
      </c>
      <c r="J365" s="1">
        <f t="shared" si="27"/>
        <v>-16.699029126213592</v>
      </c>
      <c r="K365" s="1">
        <f t="shared" si="28"/>
        <v>24528000</v>
      </c>
      <c r="L365" s="17">
        <f t="shared" si="29"/>
        <v>-16.699029126213592</v>
      </c>
    </row>
    <row r="366" spans="1:12" x14ac:dyDescent="0.3">
      <c r="A366" s="1" t="s">
        <v>117</v>
      </c>
      <c r="B366" s="11">
        <v>2022</v>
      </c>
      <c r="C366" s="1" t="s">
        <v>119</v>
      </c>
      <c r="D366" s="2">
        <v>18000</v>
      </c>
      <c r="E366" s="2">
        <v>159457</v>
      </c>
      <c r="F366" s="2">
        <f t="shared" si="25"/>
        <v>2870226000</v>
      </c>
      <c r="G366" s="2">
        <v>1030000</v>
      </c>
      <c r="H366" s="2">
        <v>-172000</v>
      </c>
      <c r="I366" s="1">
        <f t="shared" si="26"/>
        <v>-479299875.72815537</v>
      </c>
      <c r="J366" s="1">
        <f t="shared" si="27"/>
        <v>-16.699029126213595</v>
      </c>
      <c r="K366" s="1">
        <f t="shared" si="28"/>
        <v>24528000</v>
      </c>
      <c r="L366" s="17">
        <f t="shared" si="29"/>
        <v>-16.699029126213592</v>
      </c>
    </row>
    <row r="367" spans="1:12" x14ac:dyDescent="0.3">
      <c r="A367" s="1" t="s">
        <v>117</v>
      </c>
      <c r="B367" s="11">
        <v>2022</v>
      </c>
      <c r="C367" s="1" t="s">
        <v>120</v>
      </c>
      <c r="D367" s="2">
        <v>2000</v>
      </c>
      <c r="E367" s="2">
        <v>162081</v>
      </c>
      <c r="F367" s="2">
        <f t="shared" si="25"/>
        <v>324162000</v>
      </c>
      <c r="G367" s="2">
        <v>1030000</v>
      </c>
      <c r="H367" s="2">
        <v>-172000</v>
      </c>
      <c r="I367" s="1">
        <f t="shared" si="26"/>
        <v>-54131906.796116509</v>
      </c>
      <c r="J367" s="1">
        <f t="shared" si="27"/>
        <v>-16.699029126213595</v>
      </c>
      <c r="K367" s="1">
        <f t="shared" si="28"/>
        <v>24528000</v>
      </c>
      <c r="L367" s="17">
        <f t="shared" si="29"/>
        <v>-16.699029126213592</v>
      </c>
    </row>
    <row r="368" spans="1:12" x14ac:dyDescent="0.3">
      <c r="A368" s="1" t="s">
        <v>117</v>
      </c>
      <c r="B368" s="11">
        <v>2022</v>
      </c>
      <c r="C368" s="1" t="s">
        <v>121</v>
      </c>
      <c r="D368" s="2">
        <v>25000</v>
      </c>
      <c r="E368" s="2">
        <v>165590</v>
      </c>
      <c r="F368" s="2">
        <f t="shared" si="25"/>
        <v>4139750000</v>
      </c>
      <c r="G368" s="2">
        <v>1030000</v>
      </c>
      <c r="H368" s="2">
        <v>-172000</v>
      </c>
      <c r="I368" s="1">
        <f t="shared" si="26"/>
        <v>-691298058.25242722</v>
      </c>
      <c r="J368" s="1">
        <f t="shared" si="27"/>
        <v>-16.699029126213595</v>
      </c>
      <c r="K368" s="1">
        <f t="shared" si="28"/>
        <v>24528000</v>
      </c>
      <c r="L368" s="17">
        <f t="shared" si="29"/>
        <v>-16.699029126213592</v>
      </c>
    </row>
    <row r="369" spans="1:12" x14ac:dyDescent="0.3">
      <c r="A369" s="1" t="s">
        <v>117</v>
      </c>
      <c r="B369" s="11">
        <v>2022</v>
      </c>
      <c r="C369" s="1" t="s">
        <v>122</v>
      </c>
      <c r="D369" s="2">
        <v>500</v>
      </c>
      <c r="E369" s="2">
        <v>172214</v>
      </c>
      <c r="F369" s="2">
        <f t="shared" si="25"/>
        <v>86107000</v>
      </c>
      <c r="G369" s="2">
        <v>1030000</v>
      </c>
      <c r="H369" s="2">
        <v>-172000</v>
      </c>
      <c r="I369" s="1">
        <f t="shared" si="26"/>
        <v>-14379033.009708738</v>
      </c>
      <c r="J369" s="1">
        <f t="shared" si="27"/>
        <v>-16.699029126213595</v>
      </c>
      <c r="K369" s="1">
        <f t="shared" si="28"/>
        <v>24528000</v>
      </c>
      <c r="L369" s="17">
        <f t="shared" si="29"/>
        <v>-16.699029126213592</v>
      </c>
    </row>
    <row r="370" spans="1:12" x14ac:dyDescent="0.3">
      <c r="A370" s="1" t="s">
        <v>117</v>
      </c>
      <c r="B370" s="11">
        <v>2022</v>
      </c>
      <c r="C370" s="1" t="s">
        <v>123</v>
      </c>
      <c r="D370" s="2">
        <v>7000</v>
      </c>
      <c r="E370" s="2">
        <v>195698</v>
      </c>
      <c r="F370" s="2">
        <f t="shared" si="25"/>
        <v>1369886000</v>
      </c>
      <c r="G370" s="2">
        <v>1030000</v>
      </c>
      <c r="H370" s="2">
        <v>-172000</v>
      </c>
      <c r="I370" s="1">
        <f t="shared" si="26"/>
        <v>-228757662.13592234</v>
      </c>
      <c r="J370" s="1">
        <f t="shared" si="27"/>
        <v>-16.699029126213595</v>
      </c>
      <c r="K370" s="1">
        <f t="shared" si="28"/>
        <v>24528000</v>
      </c>
      <c r="L370" s="17">
        <f t="shared" si="29"/>
        <v>-16.699029126213592</v>
      </c>
    </row>
    <row r="371" spans="1:12" x14ac:dyDescent="0.3">
      <c r="A371" s="1" t="s">
        <v>117</v>
      </c>
      <c r="B371" s="11">
        <v>2022</v>
      </c>
      <c r="C371" s="1" t="s">
        <v>124</v>
      </c>
      <c r="D371" s="2">
        <v>500</v>
      </c>
      <c r="E371" s="2">
        <v>208299</v>
      </c>
      <c r="F371" s="2">
        <f t="shared" si="25"/>
        <v>104149500</v>
      </c>
      <c r="G371" s="2">
        <v>1030000</v>
      </c>
      <c r="H371" s="2">
        <v>-172000</v>
      </c>
      <c r="I371" s="1">
        <f t="shared" si="26"/>
        <v>-17391955.339805827</v>
      </c>
      <c r="J371" s="1">
        <f t="shared" si="27"/>
        <v>-16.699029126213595</v>
      </c>
      <c r="K371" s="1">
        <f t="shared" si="28"/>
        <v>24528000</v>
      </c>
      <c r="L371" s="17">
        <f t="shared" si="29"/>
        <v>-16.699029126213592</v>
      </c>
    </row>
    <row r="372" spans="1:12" x14ac:dyDescent="0.3">
      <c r="A372" s="1" t="s">
        <v>117</v>
      </c>
      <c r="B372" s="11">
        <v>2022</v>
      </c>
      <c r="C372" s="1" t="s">
        <v>125</v>
      </c>
      <c r="D372" s="2">
        <v>7000</v>
      </c>
      <c r="E372" s="2">
        <v>209158</v>
      </c>
      <c r="F372" s="2">
        <f t="shared" si="25"/>
        <v>1464106000</v>
      </c>
      <c r="G372" s="2">
        <v>1030000</v>
      </c>
      <c r="H372" s="2">
        <v>-172000</v>
      </c>
      <c r="I372" s="1">
        <f t="shared" si="26"/>
        <v>-244491487.3786408</v>
      </c>
      <c r="J372" s="1">
        <f t="shared" si="27"/>
        <v>-16.699029126213595</v>
      </c>
      <c r="K372" s="1">
        <f t="shared" si="28"/>
        <v>24528000</v>
      </c>
      <c r="L372" s="17">
        <f t="shared" si="29"/>
        <v>-16.699029126213592</v>
      </c>
    </row>
    <row r="373" spans="1:12" x14ac:dyDescent="0.3">
      <c r="A373" s="1" t="s">
        <v>117</v>
      </c>
      <c r="B373" s="11">
        <v>2023</v>
      </c>
      <c r="C373" s="1" t="s">
        <v>118</v>
      </c>
      <c r="D373" s="2">
        <v>2000</v>
      </c>
      <c r="E373" s="2">
        <v>214900</v>
      </c>
      <c r="F373" s="2">
        <f t="shared" si="25"/>
        <v>429800000</v>
      </c>
      <c r="G373" s="2">
        <v>2164000</v>
      </c>
      <c r="H373" s="2">
        <v>626000</v>
      </c>
      <c r="I373" s="1">
        <f t="shared" si="26"/>
        <v>124332162.66173752</v>
      </c>
      <c r="J373" s="1">
        <f t="shared" si="27"/>
        <v>28.927911275415894</v>
      </c>
      <c r="K373" s="1">
        <f t="shared" si="28"/>
        <v>24528000</v>
      </c>
      <c r="L373" s="17">
        <f t="shared" si="29"/>
        <v>28.927911275415894</v>
      </c>
    </row>
    <row r="374" spans="1:12" x14ac:dyDescent="0.3">
      <c r="A374" s="1" t="s">
        <v>117</v>
      </c>
      <c r="B374" s="11">
        <v>2023</v>
      </c>
      <c r="C374" s="1" t="s">
        <v>119</v>
      </c>
      <c r="D374" s="2">
        <v>18000</v>
      </c>
      <c r="E374" s="2">
        <v>226598</v>
      </c>
      <c r="F374" s="2">
        <f t="shared" si="25"/>
        <v>4078764000</v>
      </c>
      <c r="G374" s="2">
        <v>2164000</v>
      </c>
      <c r="H374" s="2">
        <v>626000</v>
      </c>
      <c r="I374" s="1">
        <f t="shared" si="26"/>
        <v>1179901231.0536044</v>
      </c>
      <c r="J374" s="1">
        <f t="shared" si="27"/>
        <v>28.927911275415894</v>
      </c>
      <c r="K374" s="1">
        <f t="shared" si="28"/>
        <v>24528000</v>
      </c>
      <c r="L374" s="17">
        <f t="shared" si="29"/>
        <v>28.927911275415894</v>
      </c>
    </row>
    <row r="375" spans="1:12" x14ac:dyDescent="0.3">
      <c r="A375" s="1" t="s">
        <v>117</v>
      </c>
      <c r="B375" s="11">
        <v>2023</v>
      </c>
      <c r="C375" s="1" t="s">
        <v>120</v>
      </c>
      <c r="D375" s="2">
        <v>2000</v>
      </c>
      <c r="E375" s="2">
        <v>228778</v>
      </c>
      <c r="F375" s="2">
        <f t="shared" si="25"/>
        <v>457556000</v>
      </c>
      <c r="G375" s="2">
        <v>2164000</v>
      </c>
      <c r="H375" s="2">
        <v>626000</v>
      </c>
      <c r="I375" s="1">
        <f t="shared" si="26"/>
        <v>132361393.71534196</v>
      </c>
      <c r="J375" s="1">
        <f t="shared" si="27"/>
        <v>28.927911275415894</v>
      </c>
      <c r="K375" s="1">
        <f t="shared" si="28"/>
        <v>24528000</v>
      </c>
      <c r="L375" s="17">
        <f t="shared" si="29"/>
        <v>28.927911275415894</v>
      </c>
    </row>
    <row r="376" spans="1:12" x14ac:dyDescent="0.3">
      <c r="A376" s="1" t="s">
        <v>117</v>
      </c>
      <c r="B376" s="11">
        <v>2023</v>
      </c>
      <c r="C376" s="1" t="s">
        <v>121</v>
      </c>
      <c r="D376" s="2">
        <v>25000</v>
      </c>
      <c r="E376" s="2">
        <v>270562</v>
      </c>
      <c r="F376" s="2">
        <f t="shared" si="25"/>
        <v>6764050000</v>
      </c>
      <c r="G376" s="2">
        <v>2164000</v>
      </c>
      <c r="H376" s="2">
        <v>626000</v>
      </c>
      <c r="I376" s="1">
        <f t="shared" si="26"/>
        <v>1956698382.624769</v>
      </c>
      <c r="J376" s="1">
        <f t="shared" si="27"/>
        <v>28.927911275415894</v>
      </c>
      <c r="K376" s="1">
        <f t="shared" si="28"/>
        <v>24528000</v>
      </c>
      <c r="L376" s="17">
        <f t="shared" si="29"/>
        <v>28.927911275415894</v>
      </c>
    </row>
    <row r="377" spans="1:12" x14ac:dyDescent="0.3">
      <c r="A377" s="1" t="s">
        <v>117</v>
      </c>
      <c r="B377" s="11">
        <v>2023</v>
      </c>
      <c r="C377" s="1" t="s">
        <v>122</v>
      </c>
      <c r="D377" s="2">
        <v>500</v>
      </c>
      <c r="E377" s="2">
        <v>273362</v>
      </c>
      <c r="F377" s="2">
        <f t="shared" si="25"/>
        <v>136681000</v>
      </c>
      <c r="G377" s="2">
        <v>2164000</v>
      </c>
      <c r="H377" s="2">
        <v>626000</v>
      </c>
      <c r="I377" s="1">
        <f t="shared" si="26"/>
        <v>39538958.410351202</v>
      </c>
      <c r="J377" s="1">
        <f t="shared" si="27"/>
        <v>28.927911275415894</v>
      </c>
      <c r="K377" s="1">
        <f t="shared" si="28"/>
        <v>24528000</v>
      </c>
      <c r="L377" s="17">
        <f t="shared" si="29"/>
        <v>28.927911275415894</v>
      </c>
    </row>
    <row r="378" spans="1:12" x14ac:dyDescent="0.3">
      <c r="A378" s="1" t="s">
        <v>117</v>
      </c>
      <c r="B378" s="11">
        <v>2023</v>
      </c>
      <c r="C378" s="1" t="s">
        <v>123</v>
      </c>
      <c r="D378" s="2">
        <v>7000</v>
      </c>
      <c r="E378" s="2">
        <v>295504</v>
      </c>
      <c r="F378" s="2">
        <f t="shared" si="25"/>
        <v>2068528000</v>
      </c>
      <c r="G378" s="2">
        <v>2164000</v>
      </c>
      <c r="H378" s="2">
        <v>626000</v>
      </c>
      <c r="I378" s="1">
        <f t="shared" si="26"/>
        <v>598381944.54713488</v>
      </c>
      <c r="J378" s="1">
        <f t="shared" si="27"/>
        <v>28.927911275415894</v>
      </c>
      <c r="K378" s="1">
        <f t="shared" si="28"/>
        <v>24528000</v>
      </c>
      <c r="L378" s="17">
        <f t="shared" si="29"/>
        <v>28.927911275415894</v>
      </c>
    </row>
    <row r="379" spans="1:12" x14ac:dyDescent="0.3">
      <c r="A379" s="1" t="s">
        <v>117</v>
      </c>
      <c r="B379" s="11">
        <v>2023</v>
      </c>
      <c r="C379" s="1" t="s">
        <v>124</v>
      </c>
      <c r="D379" s="2">
        <v>500</v>
      </c>
      <c r="E379" s="2">
        <v>331181</v>
      </c>
      <c r="F379" s="2">
        <f t="shared" si="25"/>
        <v>165590500</v>
      </c>
      <c r="G379" s="2">
        <v>2164000</v>
      </c>
      <c r="H379" s="2">
        <v>626000</v>
      </c>
      <c r="I379" s="1">
        <f t="shared" si="26"/>
        <v>47901872.920517556</v>
      </c>
      <c r="J379" s="1">
        <f t="shared" si="27"/>
        <v>28.927911275415894</v>
      </c>
      <c r="K379" s="1">
        <f t="shared" si="28"/>
        <v>24528000</v>
      </c>
      <c r="L379" s="17">
        <f t="shared" si="29"/>
        <v>28.927911275415894</v>
      </c>
    </row>
    <row r="380" spans="1:12" x14ac:dyDescent="0.3">
      <c r="A380" s="1" t="s">
        <v>117</v>
      </c>
      <c r="B380" s="11">
        <v>2023</v>
      </c>
      <c r="C380" s="1" t="s">
        <v>125</v>
      </c>
      <c r="D380" s="2">
        <v>7000</v>
      </c>
      <c r="E380" s="2">
        <v>366506</v>
      </c>
      <c r="F380" s="2">
        <f t="shared" si="25"/>
        <v>2565542000</v>
      </c>
      <c r="G380" s="2">
        <v>2164000</v>
      </c>
      <c r="H380" s="2">
        <v>626000</v>
      </c>
      <c r="I380" s="1">
        <f t="shared" si="26"/>
        <v>742157713.49353051</v>
      </c>
      <c r="J380" s="1">
        <f t="shared" si="27"/>
        <v>28.927911275415894</v>
      </c>
      <c r="K380" s="1">
        <f t="shared" si="28"/>
        <v>24528000</v>
      </c>
      <c r="L380" s="17">
        <f t="shared" si="29"/>
        <v>28.927911275415894</v>
      </c>
    </row>
    <row r="381" spans="1:12" x14ac:dyDescent="0.3">
      <c r="A381" s="1" t="s">
        <v>117</v>
      </c>
      <c r="B381" s="11">
        <v>2024</v>
      </c>
      <c r="C381" s="1" t="s">
        <v>118</v>
      </c>
      <c r="D381" s="2">
        <v>2000</v>
      </c>
      <c r="E381" s="2">
        <v>371000</v>
      </c>
      <c r="F381" s="2">
        <f t="shared" si="25"/>
        <v>742000000</v>
      </c>
      <c r="G381" s="2">
        <v>6268000</v>
      </c>
      <c r="H381" s="2">
        <v>2612000</v>
      </c>
      <c r="I381" s="1">
        <f t="shared" si="26"/>
        <v>309206126.35609442</v>
      </c>
      <c r="J381" s="1">
        <f t="shared" si="27"/>
        <v>41.671984684109759</v>
      </c>
      <c r="K381" s="1">
        <f t="shared" si="28"/>
        <v>24528000</v>
      </c>
      <c r="L381" s="17">
        <f t="shared" si="29"/>
        <v>41.671984684109766</v>
      </c>
    </row>
    <row r="382" spans="1:12" x14ac:dyDescent="0.3">
      <c r="A382" s="1" t="s">
        <v>117</v>
      </c>
      <c r="B382" s="11">
        <v>2024</v>
      </c>
      <c r="C382" s="1" t="s">
        <v>119</v>
      </c>
      <c r="D382" s="2">
        <v>18000</v>
      </c>
      <c r="E382" s="2">
        <v>400391</v>
      </c>
      <c r="F382" s="2">
        <f t="shared" si="25"/>
        <v>7207038000</v>
      </c>
      <c r="G382" s="2">
        <v>6268000</v>
      </c>
      <c r="H382" s="2">
        <v>2612000</v>
      </c>
      <c r="I382" s="1">
        <f t="shared" si="26"/>
        <v>3003315771.5379705</v>
      </c>
      <c r="J382" s="1">
        <f t="shared" si="27"/>
        <v>41.671984684109766</v>
      </c>
      <c r="K382" s="1">
        <f t="shared" si="28"/>
        <v>24528000</v>
      </c>
      <c r="L382" s="17">
        <f t="shared" si="29"/>
        <v>41.671984684109766</v>
      </c>
    </row>
    <row r="383" spans="1:12" x14ac:dyDescent="0.3">
      <c r="A383" s="1" t="s">
        <v>117</v>
      </c>
      <c r="B383" s="11">
        <v>2024</v>
      </c>
      <c r="C383" s="1" t="s">
        <v>120</v>
      </c>
      <c r="D383" s="2">
        <v>2000</v>
      </c>
      <c r="E383" s="2">
        <v>433666</v>
      </c>
      <c r="F383" s="2">
        <f t="shared" si="25"/>
        <v>867332000</v>
      </c>
      <c r="G383" s="2">
        <v>6268000</v>
      </c>
      <c r="H383" s="2">
        <v>2612000</v>
      </c>
      <c r="I383" s="1">
        <f t="shared" si="26"/>
        <v>361434458.20038289</v>
      </c>
      <c r="J383" s="1">
        <f t="shared" si="27"/>
        <v>41.671984684109766</v>
      </c>
      <c r="K383" s="1">
        <f t="shared" si="28"/>
        <v>24528000</v>
      </c>
      <c r="L383" s="17">
        <f t="shared" si="29"/>
        <v>41.671984684109766</v>
      </c>
    </row>
    <row r="384" spans="1:12" x14ac:dyDescent="0.3">
      <c r="A384" s="1" t="s">
        <v>117</v>
      </c>
      <c r="B384" s="11">
        <v>2024</v>
      </c>
      <c r="C384" s="1" t="s">
        <v>121</v>
      </c>
      <c r="D384" s="2">
        <v>25000</v>
      </c>
      <c r="E384" s="2">
        <v>439623</v>
      </c>
      <c r="F384" s="2">
        <f t="shared" si="25"/>
        <v>10990575000</v>
      </c>
      <c r="G384" s="2">
        <v>6268000</v>
      </c>
      <c r="H384" s="2">
        <v>2612000</v>
      </c>
      <c r="I384" s="1">
        <f t="shared" si="26"/>
        <v>4579990730.6955967</v>
      </c>
      <c r="J384" s="1">
        <f t="shared" si="27"/>
        <v>41.671984684109766</v>
      </c>
      <c r="K384" s="1">
        <f t="shared" si="28"/>
        <v>24528000</v>
      </c>
      <c r="L384" s="17">
        <f t="shared" si="29"/>
        <v>41.671984684109766</v>
      </c>
    </row>
    <row r="385" spans="1:12" x14ac:dyDescent="0.3">
      <c r="A385" s="1" t="s">
        <v>117</v>
      </c>
      <c r="B385" s="11">
        <v>2024</v>
      </c>
      <c r="C385" s="1" t="s">
        <v>122</v>
      </c>
      <c r="D385" s="2">
        <v>500</v>
      </c>
      <c r="E385" s="2">
        <v>476620</v>
      </c>
      <c r="F385" s="2">
        <f t="shared" si="25"/>
        <v>238310000</v>
      </c>
      <c r="G385" s="2">
        <v>6268000</v>
      </c>
      <c r="H385" s="2">
        <v>2612000</v>
      </c>
      <c r="I385" s="1">
        <f t="shared" si="26"/>
        <v>99308506.700701982</v>
      </c>
      <c r="J385" s="1">
        <f t="shared" si="27"/>
        <v>41.671984684109766</v>
      </c>
      <c r="K385" s="1">
        <f t="shared" si="28"/>
        <v>24528000</v>
      </c>
      <c r="L385" s="17">
        <f t="shared" si="29"/>
        <v>41.671984684109766</v>
      </c>
    </row>
    <row r="386" spans="1:12" x14ac:dyDescent="0.3">
      <c r="A386" s="1" t="s">
        <v>117</v>
      </c>
      <c r="B386" s="11">
        <v>2024</v>
      </c>
      <c r="C386" s="1" t="s">
        <v>123</v>
      </c>
      <c r="D386" s="2">
        <v>7000</v>
      </c>
      <c r="E386" s="2">
        <v>628433</v>
      </c>
      <c r="F386" s="2">
        <f t="shared" ref="F386:F449" si="30">E386*D386</f>
        <v>4399031000</v>
      </c>
      <c r="G386" s="2">
        <v>6268000</v>
      </c>
      <c r="H386" s="2">
        <v>2612000</v>
      </c>
      <c r="I386" s="1">
        <f t="shared" si="26"/>
        <v>1833163524.5692406</v>
      </c>
      <c r="J386" s="1">
        <f t="shared" si="27"/>
        <v>41.671984684109766</v>
      </c>
      <c r="K386" s="1">
        <f t="shared" si="28"/>
        <v>24528000</v>
      </c>
      <c r="L386" s="17">
        <f t="shared" si="29"/>
        <v>41.671984684109766</v>
      </c>
    </row>
    <row r="387" spans="1:12" x14ac:dyDescent="0.3">
      <c r="A387" s="1" t="s">
        <v>117</v>
      </c>
      <c r="B387" s="11">
        <v>2024</v>
      </c>
      <c r="C387" s="1" t="s">
        <v>124</v>
      </c>
      <c r="D387" s="2">
        <v>500</v>
      </c>
      <c r="E387" s="2">
        <v>633695</v>
      </c>
      <c r="F387" s="2">
        <f t="shared" si="30"/>
        <v>316847500</v>
      </c>
      <c r="G387" s="2">
        <v>6268000</v>
      </c>
      <c r="H387" s="2">
        <v>2612000</v>
      </c>
      <c r="I387" s="1">
        <f t="shared" ref="I387:I388" si="31">IF(F387&gt;0,H387*(F387/G387),0)</f>
        <v>132036641.67198467</v>
      </c>
      <c r="J387" s="1">
        <f t="shared" ref="J387:J388" si="32">IF(F387&gt;0,I387/F387*100,0)</f>
        <v>41.671984684109759</v>
      </c>
      <c r="K387" s="1">
        <f t="shared" ref="K387:K388" si="33">SUMIF(A:A,A387,H:H)</f>
        <v>24528000</v>
      </c>
      <c r="L387" s="17">
        <f t="shared" ref="L387:L388" si="34">IF(G387&gt;0,H387/G387*100,0)</f>
        <v>41.671984684109766</v>
      </c>
    </row>
    <row r="388" spans="1:12" x14ac:dyDescent="0.3">
      <c r="A388" s="1" t="s">
        <v>117</v>
      </c>
      <c r="B388" s="11">
        <v>2024</v>
      </c>
      <c r="C388" s="1" t="s">
        <v>125</v>
      </c>
      <c r="D388" s="2">
        <v>7000</v>
      </c>
      <c r="E388" s="2">
        <v>686333</v>
      </c>
      <c r="F388" s="2">
        <f t="shared" si="30"/>
        <v>4804331000</v>
      </c>
      <c r="G388" s="2">
        <v>6268000</v>
      </c>
      <c r="H388" s="2">
        <v>2612000</v>
      </c>
      <c r="I388" s="1">
        <f t="shared" si="31"/>
        <v>2002060078.4939375</v>
      </c>
      <c r="J388" s="1">
        <f t="shared" si="32"/>
        <v>41.671984684109766</v>
      </c>
      <c r="K388" s="1">
        <f t="shared" si="33"/>
        <v>24528000</v>
      </c>
      <c r="L388" s="17">
        <f t="shared" si="34"/>
        <v>41.671984684109766</v>
      </c>
    </row>
    <row r="389" spans="1:12" x14ac:dyDescent="0.3">
      <c r="B389" s="11"/>
      <c r="D389" s="2"/>
      <c r="E389" s="2"/>
      <c r="F389" s="2"/>
      <c r="G389" s="2"/>
      <c r="H389" s="2"/>
    </row>
    <row r="390" spans="1:12" x14ac:dyDescent="0.3">
      <c r="B390" s="11"/>
      <c r="D390" s="2"/>
      <c r="E390" s="2"/>
      <c r="F390" s="2"/>
      <c r="G390" s="2"/>
      <c r="H390" s="2"/>
    </row>
    <row r="391" spans="1:12" x14ac:dyDescent="0.3">
      <c r="D391" s="2"/>
      <c r="E391" s="2"/>
      <c r="F391" s="2"/>
      <c r="G391" s="2"/>
      <c r="H391" s="2"/>
    </row>
  </sheetData>
  <sortState ref="E2:E391">
    <sortCondition ref="E1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3"/>
  <sheetViews>
    <sheetView topLeftCell="A10" zoomScale="74" zoomScaleNormal="100" workbookViewId="0">
      <selection activeCell="C44" sqref="C44"/>
    </sheetView>
  </sheetViews>
  <sheetFormatPr defaultRowHeight="14.4" x14ac:dyDescent="0.3"/>
  <cols>
    <col min="1" max="1" width="11.33203125" customWidth="1"/>
    <col min="2" max="2" width="36.5546875" customWidth="1"/>
    <col min="3" max="3" width="29.21875" customWidth="1"/>
    <col min="4" max="4" width="27.6640625" customWidth="1"/>
    <col min="5" max="5" width="29.21875" customWidth="1"/>
    <col min="6" max="6" width="27.6640625" bestFit="1" customWidth="1"/>
    <col min="7" max="7" width="29.21875" customWidth="1"/>
    <col min="8" max="8" width="27.6640625" bestFit="1" customWidth="1"/>
    <col min="9" max="9" width="29.21875" customWidth="1"/>
    <col min="10" max="10" width="32.109375" bestFit="1" customWidth="1"/>
    <col min="11" max="11" width="33.77734375" customWidth="1"/>
  </cols>
  <sheetData>
    <row r="3" spans="1:11" x14ac:dyDescent="0.3">
      <c r="B3" s="5" t="s">
        <v>132</v>
      </c>
    </row>
    <row r="4" spans="1:11" x14ac:dyDescent="0.3">
      <c r="B4">
        <v>2022</v>
      </c>
      <c r="D4">
        <v>2023</v>
      </c>
      <c r="F4">
        <v>2024</v>
      </c>
      <c r="H4" t="s">
        <v>130</v>
      </c>
      <c r="J4" t="s">
        <v>134</v>
      </c>
      <c r="K4" t="s">
        <v>135</v>
      </c>
    </row>
    <row r="5" spans="1:11" x14ac:dyDescent="0.3">
      <c r="A5" s="5" t="s">
        <v>129</v>
      </c>
      <c r="B5" t="s">
        <v>133</v>
      </c>
      <c r="C5" t="s">
        <v>136</v>
      </c>
      <c r="D5" t="s">
        <v>133</v>
      </c>
      <c r="E5" t="s">
        <v>136</v>
      </c>
      <c r="F5" t="s">
        <v>133</v>
      </c>
      <c r="G5" t="s">
        <v>136</v>
      </c>
      <c r="H5" t="s">
        <v>133</v>
      </c>
      <c r="I5" t="s">
        <v>136</v>
      </c>
    </row>
    <row r="6" spans="1:11" x14ac:dyDescent="0.3">
      <c r="A6" s="6" t="s">
        <v>13</v>
      </c>
      <c r="B6" s="7">
        <v>1155052019</v>
      </c>
      <c r="C6" s="7">
        <v>138983</v>
      </c>
      <c r="D6" s="7">
        <v>1568000400</v>
      </c>
      <c r="E6" s="7">
        <v>176366</v>
      </c>
      <c r="F6" s="7">
        <v>1992787400</v>
      </c>
      <c r="G6" s="7">
        <v>211574</v>
      </c>
      <c r="H6" s="7">
        <v>0</v>
      </c>
      <c r="I6" s="7">
        <v>0</v>
      </c>
      <c r="J6" s="7">
        <v>4715839819</v>
      </c>
      <c r="K6" s="7">
        <v>526923</v>
      </c>
    </row>
    <row r="7" spans="1:11" x14ac:dyDescent="0.3">
      <c r="A7" s="6" t="s">
        <v>91</v>
      </c>
      <c r="B7" s="7">
        <v>893511900</v>
      </c>
      <c r="C7" s="7">
        <v>576354</v>
      </c>
      <c r="D7" s="7">
        <v>958340500</v>
      </c>
      <c r="E7" s="7">
        <v>618172</v>
      </c>
      <c r="F7" s="7">
        <v>3659558000</v>
      </c>
      <c r="G7" s="7">
        <v>2360593</v>
      </c>
      <c r="H7" s="7">
        <v>0</v>
      </c>
      <c r="I7" s="7">
        <v>0</v>
      </c>
      <c r="J7" s="7">
        <v>5511410400</v>
      </c>
      <c r="K7" s="7">
        <v>3555119</v>
      </c>
    </row>
    <row r="8" spans="1:11" x14ac:dyDescent="0.3">
      <c r="A8" s="6" t="s">
        <v>61</v>
      </c>
      <c r="B8" s="7">
        <v>4229612000</v>
      </c>
      <c r="C8" s="7">
        <v>134000</v>
      </c>
      <c r="D8" s="7">
        <v>2818399000</v>
      </c>
      <c r="E8" s="7">
        <v>89291</v>
      </c>
      <c r="F8" s="7">
        <v>2100505000</v>
      </c>
      <c r="G8" s="7">
        <v>66547</v>
      </c>
      <c r="H8" s="7">
        <v>0</v>
      </c>
      <c r="I8" s="7">
        <v>0</v>
      </c>
      <c r="J8" s="7">
        <v>9148516000</v>
      </c>
      <c r="K8" s="7">
        <v>289838</v>
      </c>
    </row>
    <row r="9" spans="1:11" x14ac:dyDescent="0.3">
      <c r="A9" s="6" t="s">
        <v>109</v>
      </c>
      <c r="B9" s="7">
        <v>30531470</v>
      </c>
      <c r="C9" s="7">
        <v>723</v>
      </c>
      <c r="D9" s="7">
        <v>19503010</v>
      </c>
      <c r="E9" s="7">
        <v>462</v>
      </c>
      <c r="F9" s="7">
        <v>78211920</v>
      </c>
      <c r="G9" s="7">
        <v>1851</v>
      </c>
      <c r="H9" s="7">
        <v>0</v>
      </c>
      <c r="I9" s="7">
        <v>0</v>
      </c>
      <c r="J9" s="7">
        <v>128246400</v>
      </c>
      <c r="K9" s="7">
        <v>3036</v>
      </c>
    </row>
    <row r="10" spans="1:11" x14ac:dyDescent="0.3">
      <c r="A10" s="6" t="s">
        <v>48</v>
      </c>
      <c r="B10" s="7">
        <v>183714744000</v>
      </c>
      <c r="C10" s="7">
        <v>2625560</v>
      </c>
      <c r="D10" s="7">
        <v>184932794000</v>
      </c>
      <c r="E10" s="7">
        <v>2602958</v>
      </c>
      <c r="F10" s="7">
        <v>207084727000</v>
      </c>
      <c r="G10" s="7">
        <v>2845593</v>
      </c>
      <c r="H10" s="7">
        <v>0</v>
      </c>
      <c r="I10" s="7">
        <v>0</v>
      </c>
      <c r="J10" s="7">
        <v>575732265000</v>
      </c>
      <c r="K10" s="7">
        <v>8074111</v>
      </c>
    </row>
    <row r="11" spans="1:11" x14ac:dyDescent="0.3">
      <c r="A11" s="6" t="s">
        <v>117</v>
      </c>
      <c r="B11" s="7">
        <v>1023500</v>
      </c>
      <c r="C11" s="7">
        <v>1152</v>
      </c>
      <c r="D11" s="7">
        <v>2164000</v>
      </c>
      <c r="E11" s="7">
        <v>1578</v>
      </c>
      <c r="F11" s="7">
        <v>6268500</v>
      </c>
      <c r="G11" s="7">
        <v>6381</v>
      </c>
      <c r="H11" s="7">
        <v>0</v>
      </c>
      <c r="I11" s="7">
        <v>0</v>
      </c>
      <c r="J11" s="7">
        <v>9456000</v>
      </c>
      <c r="K11" s="7">
        <v>9111</v>
      </c>
    </row>
    <row r="12" spans="1:11" x14ac:dyDescent="0.3">
      <c r="A12" s="6" t="s">
        <v>12</v>
      </c>
      <c r="B12" s="7">
        <v>2750139100</v>
      </c>
      <c r="C12" s="7">
        <v>441314</v>
      </c>
      <c r="D12" s="7">
        <v>1466688200</v>
      </c>
      <c r="E12" s="7">
        <v>231352</v>
      </c>
      <c r="F12" s="7">
        <v>1156253600</v>
      </c>
      <c r="G12" s="7">
        <v>184762</v>
      </c>
      <c r="H12" s="7">
        <v>0</v>
      </c>
      <c r="I12" s="7">
        <v>0</v>
      </c>
      <c r="J12" s="7">
        <v>5373080900</v>
      </c>
      <c r="K12" s="7">
        <v>857428</v>
      </c>
    </row>
    <row r="13" spans="1:11" x14ac:dyDescent="0.3">
      <c r="A13" s="6" t="s">
        <v>77</v>
      </c>
      <c r="B13" s="7">
        <v>371023490</v>
      </c>
      <c r="C13" s="7">
        <v>154953</v>
      </c>
      <c r="D13" s="7">
        <v>1041496780</v>
      </c>
      <c r="E13" s="7">
        <v>434855</v>
      </c>
      <c r="F13" s="7">
        <v>748595160</v>
      </c>
      <c r="G13" s="7">
        <v>312574</v>
      </c>
      <c r="H13" s="7">
        <v>0</v>
      </c>
      <c r="I13" s="7">
        <v>0</v>
      </c>
      <c r="J13" s="7">
        <v>2161115430</v>
      </c>
      <c r="K13" s="7">
        <v>902382</v>
      </c>
    </row>
    <row r="14" spans="1:11" x14ac:dyDescent="0.3">
      <c r="A14" s="6" t="s">
        <v>21</v>
      </c>
      <c r="B14" s="7">
        <v>2946244700</v>
      </c>
      <c r="C14" s="7">
        <v>255589</v>
      </c>
      <c r="D14" s="7">
        <v>3387449700</v>
      </c>
      <c r="E14" s="7">
        <v>280505</v>
      </c>
      <c r="F14" s="7">
        <v>4246401000</v>
      </c>
      <c r="G14" s="7">
        <v>338500</v>
      </c>
      <c r="H14" s="7">
        <v>0</v>
      </c>
      <c r="I14" s="7">
        <v>0</v>
      </c>
      <c r="J14" s="7">
        <v>10580095400</v>
      </c>
      <c r="K14" s="7">
        <v>874594</v>
      </c>
    </row>
    <row r="15" spans="1:11" x14ac:dyDescent="0.3">
      <c r="A15" s="6" t="s">
        <v>33</v>
      </c>
      <c r="B15" s="7">
        <v>3863125200</v>
      </c>
      <c r="C15" s="7">
        <v>176013</v>
      </c>
      <c r="D15" s="7">
        <v>4596408100</v>
      </c>
      <c r="E15" s="7">
        <v>208423</v>
      </c>
      <c r="F15" s="7">
        <v>5511645400</v>
      </c>
      <c r="G15" s="7">
        <v>241879</v>
      </c>
      <c r="H15" s="7">
        <v>0</v>
      </c>
      <c r="I15" s="7">
        <v>0</v>
      </c>
      <c r="J15" s="7">
        <v>13971178700</v>
      </c>
      <c r="K15" s="7">
        <v>626315</v>
      </c>
    </row>
    <row r="16" spans="1:11" x14ac:dyDescent="0.3">
      <c r="A16" s="6" t="s">
        <v>130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</row>
    <row r="17" spans="1:11" x14ac:dyDescent="0.3">
      <c r="A17" s="6" t="s">
        <v>131</v>
      </c>
      <c r="B17" s="7">
        <v>199955007379</v>
      </c>
      <c r="C17" s="7">
        <v>4504641</v>
      </c>
      <c r="D17" s="7">
        <v>200791243690</v>
      </c>
      <c r="E17" s="7">
        <v>4643962</v>
      </c>
      <c r="F17" s="7">
        <v>226584952980</v>
      </c>
      <c r="G17" s="7">
        <v>6570254</v>
      </c>
      <c r="H17" s="7">
        <v>0</v>
      </c>
      <c r="I17" s="7">
        <v>0</v>
      </c>
      <c r="J17" s="7">
        <v>627331204049</v>
      </c>
      <c r="K17" s="7">
        <v>15718857</v>
      </c>
    </row>
    <row r="21" spans="1:11" x14ac:dyDescent="0.3">
      <c r="A21" s="10" t="s">
        <v>140</v>
      </c>
    </row>
    <row r="22" spans="1:11" x14ac:dyDescent="0.3">
      <c r="A22" s="5" t="s">
        <v>0</v>
      </c>
      <c r="B22" t="s">
        <v>133</v>
      </c>
    </row>
    <row r="23" spans="1:11" x14ac:dyDescent="0.3">
      <c r="A23" s="6">
        <v>2022</v>
      </c>
      <c r="B23" s="7">
        <v>199955007379</v>
      </c>
    </row>
    <row r="24" spans="1:11" x14ac:dyDescent="0.3">
      <c r="A24" s="6">
        <v>2023</v>
      </c>
      <c r="B24" s="7">
        <v>200791243690</v>
      </c>
    </row>
    <row r="25" spans="1:11" x14ac:dyDescent="0.3">
      <c r="A25" s="6">
        <v>2024</v>
      </c>
      <c r="B25" s="7">
        <v>226584952980</v>
      </c>
    </row>
    <row r="26" spans="1:11" x14ac:dyDescent="0.3">
      <c r="A26" s="6" t="s">
        <v>130</v>
      </c>
      <c r="B26" s="7"/>
    </row>
    <row r="27" spans="1:11" x14ac:dyDescent="0.3">
      <c r="A27" s="6" t="s">
        <v>131</v>
      </c>
      <c r="B27" s="7">
        <v>627331204049</v>
      </c>
    </row>
    <row r="29" spans="1:11" x14ac:dyDescent="0.3">
      <c r="A29" s="10" t="s">
        <v>139</v>
      </c>
    </row>
    <row r="30" spans="1:11" x14ac:dyDescent="0.3">
      <c r="A30" s="5" t="s">
        <v>0</v>
      </c>
      <c r="B30" t="s">
        <v>138</v>
      </c>
    </row>
    <row r="31" spans="1:11" x14ac:dyDescent="0.3">
      <c r="A31" s="6">
        <v>2022</v>
      </c>
      <c r="B31" s="7">
        <v>2423122786000</v>
      </c>
    </row>
    <row r="32" spans="1:11" x14ac:dyDescent="0.3">
      <c r="A32" s="6">
        <v>2023</v>
      </c>
      <c r="B32" s="7">
        <v>2443496934000</v>
      </c>
    </row>
    <row r="33" spans="1:2" x14ac:dyDescent="0.3">
      <c r="A33" s="6">
        <v>2024</v>
      </c>
      <c r="B33" s="7">
        <v>2766996321000</v>
      </c>
    </row>
    <row r="34" spans="1:2" x14ac:dyDescent="0.3">
      <c r="A34" s="6" t="s">
        <v>130</v>
      </c>
      <c r="B34" s="7"/>
    </row>
    <row r="35" spans="1:2" x14ac:dyDescent="0.3">
      <c r="A35" s="6" t="s">
        <v>131</v>
      </c>
      <c r="B35" s="7">
        <v>7633616041000</v>
      </c>
    </row>
    <row r="37" spans="1:2" x14ac:dyDescent="0.3">
      <c r="A37" s="10" t="s">
        <v>142</v>
      </c>
    </row>
    <row r="38" spans="1:2" x14ac:dyDescent="0.3">
      <c r="A38" s="5" t="s">
        <v>0</v>
      </c>
      <c r="B38" t="s">
        <v>141</v>
      </c>
    </row>
    <row r="39" spans="1:2" x14ac:dyDescent="0.3">
      <c r="A39" s="6">
        <v>2022</v>
      </c>
      <c r="B39" s="7">
        <v>713638309000</v>
      </c>
    </row>
    <row r="40" spans="1:2" x14ac:dyDescent="0.3">
      <c r="A40" s="6">
        <v>2023</v>
      </c>
      <c r="B40" s="7">
        <v>567350887000</v>
      </c>
    </row>
    <row r="41" spans="1:2" x14ac:dyDescent="0.3">
      <c r="A41" s="6">
        <v>2024</v>
      </c>
      <c r="B41" s="7">
        <v>610527138000</v>
      </c>
    </row>
    <row r="42" spans="1:2" x14ac:dyDescent="0.3">
      <c r="A42" s="6" t="s">
        <v>130</v>
      </c>
      <c r="B42" s="7"/>
    </row>
    <row r="43" spans="1:2" x14ac:dyDescent="0.3">
      <c r="A43" s="6" t="s">
        <v>131</v>
      </c>
      <c r="B43" s="7">
        <v>1891516334000</v>
      </c>
    </row>
  </sheetData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1"/>
  <sheetViews>
    <sheetView tabSelected="1" zoomScale="65" zoomScaleNormal="42" workbookViewId="0">
      <selection activeCell="A23" sqref="A23"/>
    </sheetView>
  </sheetViews>
  <sheetFormatPr defaultRowHeight="14.4" x14ac:dyDescent="0.3"/>
  <cols>
    <col min="1" max="1" width="20.77734375" customWidth="1"/>
    <col min="2" max="2" width="29.88671875" bestFit="1" customWidth="1"/>
    <col min="3" max="3" width="28.109375" style="9" bestFit="1" customWidth="1"/>
    <col min="4" max="4" width="26.109375" bestFit="1" customWidth="1"/>
    <col min="5" max="5" width="19.109375" customWidth="1"/>
  </cols>
  <sheetData>
    <row r="1" spans="1:4" x14ac:dyDescent="0.3">
      <c r="A1" s="5" t="s">
        <v>129</v>
      </c>
      <c r="B1" t="s">
        <v>136</v>
      </c>
      <c r="C1" s="9" t="s">
        <v>133</v>
      </c>
      <c r="D1" t="s">
        <v>137</v>
      </c>
    </row>
    <row r="2" spans="1:4" x14ac:dyDescent="0.3">
      <c r="A2" s="6" t="s">
        <v>74</v>
      </c>
      <c r="B2" s="7">
        <v>10845</v>
      </c>
      <c r="C2" s="9">
        <v>281970000</v>
      </c>
      <c r="D2" s="7">
        <v>26000</v>
      </c>
    </row>
    <row r="3" spans="1:4" x14ac:dyDescent="0.3">
      <c r="A3" s="8" t="s">
        <v>61</v>
      </c>
      <c r="B3" s="7">
        <v>10845</v>
      </c>
      <c r="C3" s="9">
        <v>281970000</v>
      </c>
      <c r="D3" s="7">
        <v>26000</v>
      </c>
    </row>
    <row r="4" spans="1:4" x14ac:dyDescent="0.3">
      <c r="A4" s="6" t="s">
        <v>131</v>
      </c>
      <c r="B4" s="7">
        <v>10845</v>
      </c>
      <c r="C4" s="9">
        <v>281970000</v>
      </c>
      <c r="D4" s="7">
        <v>26000</v>
      </c>
    </row>
    <row r="5" spans="1:4" x14ac:dyDescent="0.3">
      <c r="C5"/>
    </row>
    <row r="6" spans="1:4" x14ac:dyDescent="0.3">
      <c r="C6"/>
    </row>
    <row r="7" spans="1:4" x14ac:dyDescent="0.3">
      <c r="C7"/>
    </row>
    <row r="8" spans="1:4" x14ac:dyDescent="0.3">
      <c r="C8"/>
    </row>
    <row r="9" spans="1:4" x14ac:dyDescent="0.3">
      <c r="C9"/>
    </row>
    <row r="10" spans="1:4" x14ac:dyDescent="0.3">
      <c r="C10"/>
    </row>
    <row r="11" spans="1:4" x14ac:dyDescent="0.3">
      <c r="C11"/>
    </row>
    <row r="12" spans="1:4" x14ac:dyDescent="0.3">
      <c r="C12"/>
    </row>
    <row r="13" spans="1:4" x14ac:dyDescent="0.3">
      <c r="C13"/>
    </row>
    <row r="14" spans="1:4" x14ac:dyDescent="0.3">
      <c r="C14"/>
    </row>
    <row r="15" spans="1:4" x14ac:dyDescent="0.3">
      <c r="C15"/>
    </row>
    <row r="16" spans="1: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  <row r="29" spans="3:3" x14ac:dyDescent="0.3">
      <c r="C29"/>
    </row>
    <row r="30" spans="3:3" x14ac:dyDescent="0.3">
      <c r="C30"/>
    </row>
    <row r="31" spans="3:3" x14ac:dyDescent="0.3">
      <c r="C31"/>
    </row>
    <row r="32" spans="3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</sheetData>
  <sortState columnSort="1" ref="A1:D231">
    <sortCondition descending="1" ref="C1"/>
  </sortState>
  <conditionalFormatting sqref="D232:D1048576 D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{7FB3C090-7462-462E-919E-7C831AB15AE0}</x14:id>
        </ext>
      </extLst>
    </cfRule>
  </conditionalFormatting>
  <conditionalFormatting sqref="C232:C1048576 C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{5C61C393-FACF-49AF-9696-A897CAFC1285}</x14:id>
        </ext>
      </extLst>
    </cfRule>
  </conditionalFormatting>
  <conditionalFormatting sqref="B232:B1048576 B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3C090-7462-462E-919E-7C831AB15A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D232:D1048576 D1</xm:sqref>
        </x14:conditionalFormatting>
        <x14:conditionalFormatting xmlns:xm="http://schemas.microsoft.com/office/excel/2006/main">
          <x14:cfRule type="dataBar" id="{5C61C393-FACF-49AF-9696-A897CAFC12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C232:C1048576 C1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4" zoomScale="87" workbookViewId="0">
      <selection activeCell="C36" sqref="C36"/>
    </sheetView>
  </sheetViews>
  <sheetFormatPr defaultRowHeight="14.4" x14ac:dyDescent="0.3"/>
  <cols>
    <col min="1" max="1" width="21" customWidth="1"/>
    <col min="2" max="2" width="18.44140625" customWidth="1"/>
    <col min="3" max="3" width="30.33203125" customWidth="1"/>
    <col min="4" max="4" width="24.33203125" customWidth="1"/>
    <col min="5" max="5" width="26.88671875" customWidth="1"/>
    <col min="6" max="6" width="19.109375" customWidth="1"/>
  </cols>
  <sheetData>
    <row r="1" spans="1:4" ht="15.6" x14ac:dyDescent="0.3">
      <c r="A1" s="12" t="s">
        <v>126</v>
      </c>
      <c r="B1" s="12" t="s">
        <v>143</v>
      </c>
      <c r="C1" s="12" t="s">
        <v>144</v>
      </c>
      <c r="D1" s="12" t="s">
        <v>145</v>
      </c>
    </row>
    <row r="2" spans="1:4" x14ac:dyDescent="0.3">
      <c r="A2" t="s">
        <v>12</v>
      </c>
      <c r="B2">
        <f>SUMIF(Вариант1!A:A,A2,Вариант1!F:F)</f>
        <v>4138900</v>
      </c>
      <c r="C2">
        <f>SUMIF(Вариант1!A:A,A2,Вариант1!H:H)</f>
        <v>11208456000</v>
      </c>
      <c r="D2">
        <f>IF($B$12&gt;0,B2/$B$12*100,0)</f>
        <v>1.3021502848832446E-3</v>
      </c>
    </row>
    <row r="3" spans="1:4" x14ac:dyDescent="0.3">
      <c r="A3" t="s">
        <v>13</v>
      </c>
      <c r="B3">
        <f>SUMIF(Вариант1!A:A, A3, Вариант1!F:F)</f>
        <v>11127317</v>
      </c>
      <c r="C3">
        <f>SUMIF(Вариант1!A:A, A3, Вариант1!H:H)</f>
        <v>2214107000</v>
      </c>
      <c r="D3">
        <f>IF($B$12&gt;0,B3/$B$12*100,0)</f>
        <v>3.5007946559559716E-3</v>
      </c>
    </row>
    <row r="4" spans="1:4" x14ac:dyDescent="0.3">
      <c r="A4" t="s">
        <v>147</v>
      </c>
      <c r="B4">
        <f>SUMIF(Вариант1!A:A, "Онежский компбинат", Вариант1!F:F)</f>
        <v>108078200</v>
      </c>
      <c r="C4">
        <f>SUMIF(Вариант1!A:A, "Онежский компбинат", Вариант1!H:H)</f>
        <v>17004312000</v>
      </c>
      <c r="D4">
        <f>IF($B$12&gt;0,B4/$B$12*100,0)</f>
        <v>3.4002768590608197E-2</v>
      </c>
    </row>
    <row r="5" spans="1:4" x14ac:dyDescent="0.3">
      <c r="A5" t="s">
        <v>33</v>
      </c>
      <c r="B5">
        <f>SUMIF(Вариант1!A:A, A5, Вариант1!F:F)</f>
        <v>27740778700</v>
      </c>
      <c r="C5">
        <f>SUMIF(Вариант1!A:A, A5, Вариант1!H:H)</f>
        <v>17152110000</v>
      </c>
      <c r="D5">
        <f>IF($B$12&gt;0,B5/$B$12*100,0)</f>
        <v>8.7275998180888745</v>
      </c>
    </row>
    <row r="6" spans="1:4" x14ac:dyDescent="0.3">
      <c r="A6" t="s">
        <v>48</v>
      </c>
      <c r="B6">
        <f>SUMIF(Вариант1!A:A, A6, Вариант1!F:F)</f>
        <v>15871069000</v>
      </c>
      <c r="C6">
        <f>SUMIF(Вариант1!A:A, A6, Вариант1!H:H)</f>
        <v>1811953692000</v>
      </c>
      <c r="D6">
        <f>IF($B$12&gt;0,B6/$B$12*100,0)</f>
        <v>4.9932390296338713</v>
      </c>
    </row>
    <row r="7" spans="1:4" x14ac:dyDescent="0.3">
      <c r="A7" t="s">
        <v>61</v>
      </c>
      <c r="B7">
        <f>SUMIF(Вариант1!A:A, A7, Вариант1!F:F)</f>
        <v>16509982000</v>
      </c>
      <c r="C7">
        <f>SUMIF(Вариант1!A:A, A7, Вариант1!H:H)</f>
        <v>21340995000</v>
      </c>
      <c r="D7">
        <f>IF($B$12&gt;0,B7/$B$12*100,0)</f>
        <v>5.1942491397997639</v>
      </c>
    </row>
    <row r="8" spans="1:4" x14ac:dyDescent="0.3">
      <c r="A8" t="s">
        <v>77</v>
      </c>
      <c r="B8">
        <f>SUMIF(Вариант1!A:A, A8, Вариант1!F:F)</f>
        <v>26584772090</v>
      </c>
      <c r="C8">
        <f>SUMIF(Вариант1!A:A, A8, Вариант1!H:H)</f>
        <v>3046640000</v>
      </c>
      <c r="D8">
        <f>IF($B$12&gt;0,B8/$B$12*100,0)</f>
        <v>8.3639055185072433</v>
      </c>
    </row>
    <row r="9" spans="1:4" x14ac:dyDescent="0.3">
      <c r="A9" t="s">
        <v>91</v>
      </c>
      <c r="B9">
        <f>SUMIF(Вариант1!A:A, A9, Вариант1!F:F)</f>
        <v>3917529350</v>
      </c>
      <c r="C9">
        <f>SUMIF(Вариант1!A:A, A9, Вариант1!H:H)</f>
        <v>7540775000</v>
      </c>
      <c r="D9">
        <f>IF($B$12&gt;0,B9/$B$12*100,0)</f>
        <v>1.2325042787071376</v>
      </c>
    </row>
    <row r="10" spans="1:4" x14ac:dyDescent="0.3">
      <c r="A10" t="s">
        <v>109</v>
      </c>
      <c r="B10">
        <f>SUMIF(Вариант1!A:A, A10, Вариант1!F:F)</f>
        <v>170205244420</v>
      </c>
      <c r="C10">
        <f>SUMIF(Вариант1!A:A, A10, Вариант1!H:H)</f>
        <v>30719000</v>
      </c>
      <c r="D10">
        <f>IF($B$12&gt;0,B10/$B$12*100,0)</f>
        <v>53.548722489097415</v>
      </c>
    </row>
    <row r="11" spans="1:4" x14ac:dyDescent="0.3">
      <c r="A11" t="s">
        <v>117</v>
      </c>
      <c r="B11">
        <f>SUMIF(Вариант1!A:A, A11, Вариант1!F:F)</f>
        <v>56898456500</v>
      </c>
      <c r="C11">
        <f>SUMIF(Вариант1!A:A, A11, Вариант1!H:H)</f>
        <v>24528000</v>
      </c>
      <c r="D11">
        <f>IF($B$12&gt;0,B11/$B$12*100,0)</f>
        <v>17.900974012634251</v>
      </c>
    </row>
    <row r="12" spans="1:4" ht="15.6" x14ac:dyDescent="0.3">
      <c r="A12" s="12" t="s">
        <v>146</v>
      </c>
      <c r="B12" s="13">
        <f>SUM(B2:B11)</f>
        <v>317851176477</v>
      </c>
      <c r="C12">
        <f>SUM(C2:C11)</f>
        <v>1891516334000</v>
      </c>
      <c r="D12" s="14">
        <f>SUM(D2:D11)</f>
        <v>100</v>
      </c>
    </row>
    <row r="17" spans="1:5" ht="15.6" x14ac:dyDescent="0.3">
      <c r="E17" s="12"/>
    </row>
    <row r="18" spans="1:5" ht="23.4" x14ac:dyDescent="0.45">
      <c r="A18" s="18" t="s">
        <v>152</v>
      </c>
      <c r="B18" s="18"/>
    </row>
    <row r="20" spans="1:5" ht="15.6" x14ac:dyDescent="0.3">
      <c r="A20" s="12" t="s">
        <v>126</v>
      </c>
      <c r="B20" s="12">
        <v>2022</v>
      </c>
      <c r="C20" s="12">
        <v>2023</v>
      </c>
      <c r="D20" s="12">
        <v>2024</v>
      </c>
      <c r="E20" s="12" t="s">
        <v>153</v>
      </c>
    </row>
    <row r="21" spans="1:5" x14ac:dyDescent="0.3">
      <c r="A21" t="s">
        <v>12</v>
      </c>
      <c r="B21">
        <f>Вариант1!L2</f>
        <v>7.3660035750803221</v>
      </c>
      <c r="C21">
        <f>Вариант1!L9</f>
        <v>46.468495519229407</v>
      </c>
      <c r="D21">
        <f>Вариант1!L16</f>
        <v>62.015729808454033</v>
      </c>
      <c r="E21">
        <f>AVERAGE(B21:D21)</f>
        <v>38.616742967587918</v>
      </c>
    </row>
    <row r="22" spans="1:5" x14ac:dyDescent="0.3">
      <c r="A22" t="s">
        <v>13</v>
      </c>
      <c r="B22">
        <f>Вариант1!L23</f>
        <v>8.966609295512237</v>
      </c>
      <c r="C22">
        <f>Вариант1!L30</f>
        <v>8.5438432466974223</v>
      </c>
      <c r="D22">
        <f>Вариант1!L37</f>
        <v>3.9523884794973894</v>
      </c>
      <c r="E22">
        <f t="shared" ref="E22:E30" si="0">AVERAGE(B22:D22)</f>
        <v>7.1542803405690165</v>
      </c>
    </row>
    <row r="23" spans="1:5" x14ac:dyDescent="0.3">
      <c r="A23" t="s">
        <v>147</v>
      </c>
      <c r="B23">
        <f>Вариант1!L44</f>
        <v>14.642078564220991</v>
      </c>
      <c r="C23">
        <f>Вариант1!L56</f>
        <v>16.07209067807818</v>
      </c>
      <c r="D23">
        <f>Вариант1!L68</f>
        <v>10.389158696458949</v>
      </c>
      <c r="E23">
        <f t="shared" si="0"/>
        <v>13.701109312919373</v>
      </c>
    </row>
    <row r="24" spans="1:5" x14ac:dyDescent="0.3">
      <c r="A24" t="s">
        <v>33</v>
      </c>
      <c r="B24">
        <f>Вариант1!L80</f>
        <v>4.8047491484525642</v>
      </c>
      <c r="C24">
        <f>Вариант1!L98</f>
        <v>11.85600012878964</v>
      </c>
      <c r="D24">
        <f>Вариант1!L116</f>
        <v>4.0331766366517838</v>
      </c>
      <c r="E24">
        <f t="shared" si="0"/>
        <v>6.8979753046313297</v>
      </c>
    </row>
    <row r="25" spans="1:5" x14ac:dyDescent="0.3">
      <c r="A25" t="s">
        <v>48</v>
      </c>
      <c r="B25">
        <f>Вариант1!L135</f>
        <v>31.455730200183901</v>
      </c>
      <c r="C25">
        <f>Вариант1!L152</f>
        <v>23.979182837760629</v>
      </c>
      <c r="D25">
        <f>Вариант1!L163</f>
        <v>23.597063080621517</v>
      </c>
      <c r="E25">
        <f t="shared" si="0"/>
        <v>26.343992039522011</v>
      </c>
    </row>
    <row r="26" spans="1:5" x14ac:dyDescent="0.3">
      <c r="A26" t="s">
        <v>61</v>
      </c>
      <c r="B26">
        <f>Вариант1!L175</f>
        <v>5.3583177438851264</v>
      </c>
      <c r="C26">
        <f>Вариант1!L185</f>
        <v>25.04252845548357</v>
      </c>
      <c r="D26">
        <f>Вариант1!L200</f>
        <v>23.334704260537098</v>
      </c>
      <c r="E26">
        <f t="shared" si="0"/>
        <v>17.911850153301931</v>
      </c>
    </row>
    <row r="27" spans="1:5" x14ac:dyDescent="0.3">
      <c r="A27" t="s">
        <v>77</v>
      </c>
      <c r="B27">
        <f>Вариант1!L215</f>
        <v>8.5469855170090945</v>
      </c>
      <c r="C27">
        <f>Вариант1!L236</f>
        <v>11.265109231981981</v>
      </c>
      <c r="D27">
        <f>Вариант1!L255</f>
        <v>0.43893043099602208</v>
      </c>
      <c r="E27">
        <f t="shared" si="0"/>
        <v>6.7503417266623664</v>
      </c>
    </row>
    <row r="28" spans="1:5" x14ac:dyDescent="0.3">
      <c r="A28" t="s">
        <v>91</v>
      </c>
      <c r="B28">
        <f>Вариант1!L275</f>
        <v>36.349107399668497</v>
      </c>
      <c r="C28">
        <f>Вариант1!L292</f>
        <v>1.2477826241208756</v>
      </c>
      <c r="D28">
        <f>Вариант1!L310</f>
        <v>2.9192861762851754</v>
      </c>
      <c r="E28">
        <f t="shared" si="0"/>
        <v>13.505392066691515</v>
      </c>
    </row>
    <row r="29" spans="1:5" x14ac:dyDescent="0.3">
      <c r="A29" t="s">
        <v>109</v>
      </c>
      <c r="B29">
        <f>Вариант1!L326</f>
        <v>1.2214290392298119</v>
      </c>
      <c r="C29">
        <f>Вариант1!L339</f>
        <v>4.9296135142052728</v>
      </c>
      <c r="D29">
        <f>Вариант1!L352</f>
        <v>1.3130809456228505</v>
      </c>
      <c r="E29">
        <f t="shared" si="0"/>
        <v>2.4880411663526449</v>
      </c>
    </row>
    <row r="30" spans="1:5" x14ac:dyDescent="0.3">
      <c r="A30" t="s">
        <v>117</v>
      </c>
      <c r="B30">
        <f>Вариант1!L365</f>
        <v>-16.699029126213592</v>
      </c>
      <c r="C30">
        <f>Вариант1!L373</f>
        <v>28.927911275415894</v>
      </c>
      <c r="D30">
        <f>Вариант1!L381</f>
        <v>41.671984684109766</v>
      </c>
      <c r="E30">
        <f t="shared" si="0"/>
        <v>17.966955611104023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B4:C4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3"/>
  <sheetViews>
    <sheetView zoomScale="70" workbookViewId="0">
      <selection activeCell="Q29" sqref="Q29"/>
    </sheetView>
  </sheetViews>
  <sheetFormatPr defaultRowHeight="14.4" x14ac:dyDescent="0.3"/>
  <cols>
    <col min="1" max="1" width="255.77734375" bestFit="1" customWidth="1"/>
    <col min="2" max="2" width="21.21875" bestFit="1" customWidth="1"/>
    <col min="3" max="4" width="13.33203125" bestFit="1" customWidth="1"/>
    <col min="5" max="5" width="7.21875" bestFit="1" customWidth="1"/>
    <col min="6" max="6" width="13.33203125" bestFit="1" customWidth="1"/>
    <col min="7" max="7" width="12.5546875" customWidth="1"/>
    <col min="8" max="8" width="12.21875" customWidth="1"/>
    <col min="9" max="9" width="12.33203125" customWidth="1"/>
    <col min="10" max="10" width="11.5546875" customWidth="1"/>
  </cols>
  <sheetData>
    <row r="3" spans="1:6" x14ac:dyDescent="0.3">
      <c r="A3" s="5" t="s">
        <v>137</v>
      </c>
      <c r="B3" s="5" t="s">
        <v>132</v>
      </c>
    </row>
    <row r="4" spans="1:6" x14ac:dyDescent="0.3">
      <c r="A4" s="5" t="s">
        <v>129</v>
      </c>
      <c r="B4">
        <v>2022</v>
      </c>
      <c r="C4">
        <v>2023</v>
      </c>
      <c r="D4">
        <v>2024</v>
      </c>
      <c r="E4" t="s">
        <v>130</v>
      </c>
      <c r="F4" t="s">
        <v>131</v>
      </c>
    </row>
    <row r="5" spans="1:6" x14ac:dyDescent="0.3">
      <c r="A5" s="6" t="s">
        <v>13</v>
      </c>
      <c r="B5" s="7">
        <v>9075.1428571428569</v>
      </c>
      <c r="C5" s="7">
        <v>9585.7142857142862</v>
      </c>
      <c r="D5" s="7">
        <v>10128.571428571429</v>
      </c>
      <c r="E5" s="7"/>
      <c r="F5" s="7">
        <v>9596.4761904761908</v>
      </c>
    </row>
    <row r="6" spans="1:6" x14ac:dyDescent="0.3">
      <c r="A6" s="8" t="s">
        <v>19</v>
      </c>
      <c r="B6" s="7">
        <v>8090</v>
      </c>
      <c r="C6" s="7">
        <v>8600</v>
      </c>
      <c r="D6" s="7">
        <v>9100</v>
      </c>
      <c r="E6" s="7"/>
      <c r="F6" s="7">
        <v>8596.6666666666661</v>
      </c>
    </row>
    <row r="7" spans="1:6" x14ac:dyDescent="0.3">
      <c r="A7" s="8" t="s">
        <v>14</v>
      </c>
      <c r="B7" s="7">
        <v>18478</v>
      </c>
      <c r="C7" s="7">
        <v>19200</v>
      </c>
      <c r="D7" s="7">
        <v>20000</v>
      </c>
      <c r="E7" s="7"/>
      <c r="F7" s="7">
        <v>19226</v>
      </c>
    </row>
    <row r="8" spans="1:6" x14ac:dyDescent="0.3">
      <c r="A8" s="8" t="s">
        <v>18</v>
      </c>
      <c r="B8" s="7">
        <v>5193</v>
      </c>
      <c r="C8" s="7">
        <v>5500</v>
      </c>
      <c r="D8" s="7">
        <v>5800</v>
      </c>
      <c r="E8" s="7"/>
      <c r="F8" s="7">
        <v>5497.666666666667</v>
      </c>
    </row>
    <row r="9" spans="1:6" x14ac:dyDescent="0.3">
      <c r="A9" s="8" t="s">
        <v>15</v>
      </c>
      <c r="B9" s="7">
        <v>9788</v>
      </c>
      <c r="C9" s="7">
        <v>10500</v>
      </c>
      <c r="D9" s="7">
        <v>11200</v>
      </c>
      <c r="E9" s="7"/>
      <c r="F9" s="7">
        <v>10496</v>
      </c>
    </row>
    <row r="10" spans="1:6" x14ac:dyDescent="0.3">
      <c r="A10" s="8" t="s">
        <v>17</v>
      </c>
      <c r="B10" s="7">
        <v>6492</v>
      </c>
      <c r="C10" s="7">
        <v>6900</v>
      </c>
      <c r="D10" s="7">
        <v>7400</v>
      </c>
      <c r="E10" s="7"/>
      <c r="F10" s="7">
        <v>6930.666666666667</v>
      </c>
    </row>
    <row r="11" spans="1:6" x14ac:dyDescent="0.3">
      <c r="A11" s="8" t="s">
        <v>20</v>
      </c>
      <c r="B11" s="7">
        <v>4296</v>
      </c>
      <c r="C11" s="7">
        <v>4600</v>
      </c>
      <c r="D11" s="7">
        <v>4900</v>
      </c>
      <c r="E11" s="7"/>
      <c r="F11" s="7">
        <v>4598.666666666667</v>
      </c>
    </row>
    <row r="12" spans="1:6" x14ac:dyDescent="0.3">
      <c r="A12" s="8" t="s">
        <v>16</v>
      </c>
      <c r="B12" s="7">
        <v>11189</v>
      </c>
      <c r="C12" s="7">
        <v>11800</v>
      </c>
      <c r="D12" s="7">
        <v>12500</v>
      </c>
      <c r="E12" s="7"/>
      <c r="F12" s="7">
        <v>11829.666666666666</v>
      </c>
    </row>
    <row r="13" spans="1:6" x14ac:dyDescent="0.3">
      <c r="A13" s="6" t="s">
        <v>91</v>
      </c>
      <c r="B13" s="7">
        <v>1920.5882352941176</v>
      </c>
      <c r="C13" s="7">
        <v>1920.5882352941176</v>
      </c>
      <c r="D13" s="7">
        <v>1920.5882352941176</v>
      </c>
      <c r="E13" s="7"/>
      <c r="F13" s="7">
        <v>1920.5882352941176</v>
      </c>
    </row>
    <row r="14" spans="1:6" x14ac:dyDescent="0.3">
      <c r="A14" s="8" t="s">
        <v>97</v>
      </c>
      <c r="B14" s="7">
        <v>1450</v>
      </c>
      <c r="C14" s="7">
        <v>1450</v>
      </c>
      <c r="D14" s="7">
        <v>1450</v>
      </c>
      <c r="E14" s="7"/>
      <c r="F14" s="7">
        <v>1450</v>
      </c>
    </row>
    <row r="15" spans="1:6" x14ac:dyDescent="0.3">
      <c r="A15" s="8" t="s">
        <v>108</v>
      </c>
      <c r="B15" s="7">
        <v>4100</v>
      </c>
      <c r="C15" s="7">
        <v>4100</v>
      </c>
      <c r="D15" s="7">
        <v>4100</v>
      </c>
      <c r="E15" s="7"/>
      <c r="F15" s="7">
        <v>4100</v>
      </c>
    </row>
    <row r="16" spans="1:6" x14ac:dyDescent="0.3">
      <c r="A16" s="8" t="s">
        <v>103</v>
      </c>
      <c r="B16" s="7">
        <v>1900</v>
      </c>
      <c r="C16" s="7">
        <v>1900</v>
      </c>
      <c r="D16" s="7">
        <v>1900</v>
      </c>
      <c r="E16" s="7"/>
      <c r="F16" s="7">
        <v>1900</v>
      </c>
    </row>
    <row r="17" spans="1:6" x14ac:dyDescent="0.3">
      <c r="A17" s="8" t="s">
        <v>104</v>
      </c>
      <c r="B17" s="7">
        <v>4000</v>
      </c>
      <c r="C17" s="7">
        <v>4000</v>
      </c>
      <c r="D17" s="7">
        <v>4000</v>
      </c>
      <c r="E17" s="7"/>
      <c r="F17" s="7">
        <v>4000</v>
      </c>
    </row>
    <row r="18" spans="1:6" x14ac:dyDescent="0.3">
      <c r="A18" s="8" t="s">
        <v>105</v>
      </c>
      <c r="B18" s="7">
        <v>650</v>
      </c>
      <c r="C18" s="7">
        <v>650</v>
      </c>
      <c r="D18" s="7">
        <v>650</v>
      </c>
      <c r="E18" s="7"/>
      <c r="F18" s="7">
        <v>650</v>
      </c>
    </row>
    <row r="19" spans="1:6" x14ac:dyDescent="0.3">
      <c r="A19" s="8" t="s">
        <v>96</v>
      </c>
      <c r="B19" s="7">
        <v>1350</v>
      </c>
      <c r="C19" s="7">
        <v>1350</v>
      </c>
      <c r="D19" s="7">
        <v>1350</v>
      </c>
      <c r="E19" s="7"/>
      <c r="F19" s="7">
        <v>1350</v>
      </c>
    </row>
    <row r="20" spans="1:6" x14ac:dyDescent="0.3">
      <c r="A20" s="8" t="s">
        <v>95</v>
      </c>
      <c r="B20" s="7">
        <v>1300</v>
      </c>
      <c r="C20" s="7">
        <v>1300</v>
      </c>
      <c r="D20" s="7">
        <v>1300</v>
      </c>
      <c r="E20" s="7"/>
      <c r="F20" s="7">
        <v>1300</v>
      </c>
    </row>
    <row r="21" spans="1:6" x14ac:dyDescent="0.3">
      <c r="A21" s="8" t="s">
        <v>98</v>
      </c>
      <c r="B21" s="7">
        <v>2000</v>
      </c>
      <c r="C21" s="7">
        <v>2000</v>
      </c>
      <c r="D21" s="7">
        <v>2000</v>
      </c>
      <c r="E21" s="7"/>
      <c r="F21" s="7">
        <v>2000</v>
      </c>
    </row>
    <row r="22" spans="1:6" x14ac:dyDescent="0.3">
      <c r="A22" s="8" t="s">
        <v>102</v>
      </c>
      <c r="B22" s="7">
        <v>1700</v>
      </c>
      <c r="C22" s="7">
        <v>1700</v>
      </c>
      <c r="D22" s="7">
        <v>1700</v>
      </c>
      <c r="E22" s="7"/>
      <c r="F22" s="7">
        <v>1700</v>
      </c>
    </row>
    <row r="23" spans="1:6" x14ac:dyDescent="0.3">
      <c r="A23" s="8" t="s">
        <v>101</v>
      </c>
      <c r="B23" s="7">
        <v>1800</v>
      </c>
      <c r="C23" s="7">
        <v>1800</v>
      </c>
      <c r="D23" s="7">
        <v>1800</v>
      </c>
      <c r="E23" s="7"/>
      <c r="F23" s="7">
        <v>1800</v>
      </c>
    </row>
    <row r="24" spans="1:6" x14ac:dyDescent="0.3">
      <c r="A24" s="8" t="s">
        <v>94</v>
      </c>
      <c r="B24" s="7">
        <v>1250</v>
      </c>
      <c r="C24" s="7">
        <v>1250</v>
      </c>
      <c r="D24" s="7">
        <v>1250</v>
      </c>
      <c r="E24" s="7"/>
      <c r="F24" s="7">
        <v>1250</v>
      </c>
    </row>
    <row r="25" spans="1:6" x14ac:dyDescent="0.3">
      <c r="A25" s="8" t="s">
        <v>92</v>
      </c>
      <c r="B25" s="7">
        <v>950</v>
      </c>
      <c r="C25" s="7">
        <v>950</v>
      </c>
      <c r="D25" s="7">
        <v>950</v>
      </c>
      <c r="E25" s="7"/>
      <c r="F25" s="7">
        <v>950</v>
      </c>
    </row>
    <row r="26" spans="1:6" x14ac:dyDescent="0.3">
      <c r="A26" s="8" t="s">
        <v>107</v>
      </c>
      <c r="B26" s="7">
        <v>2800</v>
      </c>
      <c r="C26" s="7">
        <v>2800</v>
      </c>
      <c r="D26" s="7">
        <v>2800</v>
      </c>
      <c r="E26" s="7"/>
      <c r="F26" s="7">
        <v>2800</v>
      </c>
    </row>
    <row r="27" spans="1:6" x14ac:dyDescent="0.3">
      <c r="A27" s="8" t="s">
        <v>106</v>
      </c>
      <c r="B27" s="7">
        <v>1800</v>
      </c>
      <c r="C27" s="7">
        <v>1800</v>
      </c>
      <c r="D27" s="7">
        <v>1800</v>
      </c>
      <c r="E27" s="7"/>
      <c r="F27" s="7">
        <v>1800</v>
      </c>
    </row>
    <row r="28" spans="1:6" x14ac:dyDescent="0.3">
      <c r="A28" s="8" t="s">
        <v>100</v>
      </c>
      <c r="B28" s="7">
        <v>2300</v>
      </c>
      <c r="C28" s="7">
        <v>2300</v>
      </c>
      <c r="D28" s="7">
        <v>2300</v>
      </c>
      <c r="E28" s="7"/>
      <c r="F28" s="7">
        <v>2300</v>
      </c>
    </row>
    <row r="29" spans="1:6" x14ac:dyDescent="0.3">
      <c r="A29" s="8" t="s">
        <v>93</v>
      </c>
      <c r="B29" s="7">
        <v>1100</v>
      </c>
      <c r="C29" s="7">
        <v>1100</v>
      </c>
      <c r="D29" s="7">
        <v>1100</v>
      </c>
      <c r="E29" s="7"/>
      <c r="F29" s="7">
        <v>1100</v>
      </c>
    </row>
    <row r="30" spans="1:6" x14ac:dyDescent="0.3">
      <c r="A30" s="8" t="s">
        <v>99</v>
      </c>
      <c r="B30" s="7">
        <v>2200</v>
      </c>
      <c r="C30" s="7">
        <v>2200</v>
      </c>
      <c r="D30" s="7">
        <v>2200</v>
      </c>
      <c r="E30" s="7"/>
      <c r="F30" s="7">
        <v>2200</v>
      </c>
    </row>
    <row r="31" spans="1:6" x14ac:dyDescent="0.3">
      <c r="A31" s="6" t="s">
        <v>61</v>
      </c>
      <c r="B31" s="7">
        <v>31800</v>
      </c>
      <c r="C31" s="7">
        <v>31800</v>
      </c>
      <c r="D31" s="7">
        <v>31800</v>
      </c>
      <c r="E31" s="7"/>
      <c r="F31" s="7">
        <v>31800</v>
      </c>
    </row>
    <row r="32" spans="1:6" x14ac:dyDescent="0.3">
      <c r="A32" s="8" t="s">
        <v>69</v>
      </c>
      <c r="B32" s="7">
        <v>32000</v>
      </c>
      <c r="C32" s="7">
        <v>32000</v>
      </c>
      <c r="D32" s="7">
        <v>32000</v>
      </c>
      <c r="E32" s="7"/>
      <c r="F32" s="7">
        <v>32000</v>
      </c>
    </row>
    <row r="33" spans="1:6" x14ac:dyDescent="0.3">
      <c r="A33" s="8" t="s">
        <v>67</v>
      </c>
      <c r="B33" s="7">
        <v>29000</v>
      </c>
      <c r="C33" s="7">
        <v>29000</v>
      </c>
      <c r="D33" s="7">
        <v>29000</v>
      </c>
      <c r="E33" s="7"/>
      <c r="F33" s="7">
        <v>29000</v>
      </c>
    </row>
    <row r="34" spans="1:6" x14ac:dyDescent="0.3">
      <c r="A34" s="8" t="s">
        <v>68</v>
      </c>
      <c r="B34" s="7">
        <v>29000</v>
      </c>
      <c r="C34" s="7">
        <v>29000</v>
      </c>
      <c r="D34" s="7">
        <v>29000</v>
      </c>
      <c r="E34" s="7"/>
      <c r="F34" s="7">
        <v>29000</v>
      </c>
    </row>
    <row r="35" spans="1:6" x14ac:dyDescent="0.3">
      <c r="A35" s="8" t="s">
        <v>74</v>
      </c>
      <c r="B35" s="7">
        <v>26000</v>
      </c>
      <c r="C35" s="7">
        <v>26000</v>
      </c>
      <c r="D35" s="7">
        <v>26000</v>
      </c>
      <c r="E35" s="7"/>
      <c r="F35" s="7">
        <v>26000</v>
      </c>
    </row>
    <row r="36" spans="1:6" x14ac:dyDescent="0.3">
      <c r="A36" s="8" t="s">
        <v>75</v>
      </c>
      <c r="B36" s="7">
        <v>36000</v>
      </c>
      <c r="C36" s="7">
        <v>36000</v>
      </c>
      <c r="D36" s="7">
        <v>36000</v>
      </c>
      <c r="E36" s="7"/>
      <c r="F36" s="7">
        <v>36000</v>
      </c>
    </row>
    <row r="37" spans="1:6" x14ac:dyDescent="0.3">
      <c r="A37" s="8" t="s">
        <v>62</v>
      </c>
      <c r="B37" s="7">
        <v>29000</v>
      </c>
      <c r="C37" s="7">
        <v>29000</v>
      </c>
      <c r="D37" s="7">
        <v>29000</v>
      </c>
      <c r="E37" s="7"/>
      <c r="F37" s="7">
        <v>29000</v>
      </c>
    </row>
    <row r="38" spans="1:6" x14ac:dyDescent="0.3">
      <c r="A38" s="8" t="s">
        <v>66</v>
      </c>
      <c r="B38" s="7">
        <v>32000</v>
      </c>
      <c r="C38" s="7">
        <v>32000</v>
      </c>
      <c r="D38" s="7">
        <v>32000</v>
      </c>
      <c r="E38" s="7"/>
      <c r="F38" s="7">
        <v>32000</v>
      </c>
    </row>
    <row r="39" spans="1:6" x14ac:dyDescent="0.3">
      <c r="A39" s="8" t="s">
        <v>65</v>
      </c>
      <c r="B39" s="7">
        <v>32000</v>
      </c>
      <c r="C39" s="7">
        <v>32000</v>
      </c>
      <c r="D39" s="7">
        <v>32000</v>
      </c>
      <c r="E39" s="7"/>
      <c r="F39" s="7">
        <v>32000</v>
      </c>
    </row>
    <row r="40" spans="1:6" x14ac:dyDescent="0.3">
      <c r="A40" s="8" t="s">
        <v>64</v>
      </c>
      <c r="B40" s="7">
        <v>31000</v>
      </c>
      <c r="C40" s="7">
        <v>31000</v>
      </c>
      <c r="D40" s="7">
        <v>31000</v>
      </c>
      <c r="E40" s="7"/>
      <c r="F40" s="7">
        <v>31000</v>
      </c>
    </row>
    <row r="41" spans="1:6" x14ac:dyDescent="0.3">
      <c r="A41" s="8" t="s">
        <v>63</v>
      </c>
      <c r="B41" s="7">
        <v>31000</v>
      </c>
      <c r="C41" s="7">
        <v>31000</v>
      </c>
      <c r="D41" s="7">
        <v>31000</v>
      </c>
      <c r="E41" s="7"/>
      <c r="F41" s="7">
        <v>31000</v>
      </c>
    </row>
    <row r="42" spans="1:6" x14ac:dyDescent="0.3">
      <c r="A42" s="8" t="s">
        <v>76</v>
      </c>
      <c r="B42" s="7">
        <v>32000</v>
      </c>
      <c r="C42" s="7">
        <v>32000</v>
      </c>
      <c r="D42" s="7">
        <v>32000</v>
      </c>
      <c r="E42" s="7"/>
      <c r="F42" s="7">
        <v>32000</v>
      </c>
    </row>
    <row r="43" spans="1:6" x14ac:dyDescent="0.3">
      <c r="A43" s="8" t="s">
        <v>73</v>
      </c>
      <c r="B43" s="7">
        <v>35000</v>
      </c>
      <c r="C43" s="7">
        <v>35000</v>
      </c>
      <c r="D43" s="7">
        <v>35000</v>
      </c>
      <c r="E43" s="7"/>
      <c r="F43" s="7">
        <v>35000</v>
      </c>
    </row>
    <row r="44" spans="1:6" x14ac:dyDescent="0.3">
      <c r="A44" s="8" t="s">
        <v>72</v>
      </c>
      <c r="B44" s="7">
        <v>35000</v>
      </c>
      <c r="C44" s="7">
        <v>35000</v>
      </c>
      <c r="D44" s="7">
        <v>35000</v>
      </c>
      <c r="E44" s="7"/>
      <c r="F44" s="7">
        <v>35000</v>
      </c>
    </row>
    <row r="45" spans="1:6" x14ac:dyDescent="0.3">
      <c r="A45" s="8" t="s">
        <v>70</v>
      </c>
      <c r="B45" s="7">
        <v>33000</v>
      </c>
      <c r="C45" s="7">
        <v>33000</v>
      </c>
      <c r="D45" s="7">
        <v>33000</v>
      </c>
      <c r="E45" s="7"/>
      <c r="F45" s="7">
        <v>33000</v>
      </c>
    </row>
    <row r="46" spans="1:6" x14ac:dyDescent="0.3">
      <c r="A46" s="8" t="s">
        <v>71</v>
      </c>
      <c r="B46" s="7">
        <v>35000</v>
      </c>
      <c r="C46" s="7">
        <v>35000</v>
      </c>
      <c r="D46" s="7">
        <v>35000</v>
      </c>
      <c r="E46" s="7"/>
      <c r="F46" s="7">
        <v>35000</v>
      </c>
    </row>
    <row r="47" spans="1:6" x14ac:dyDescent="0.3">
      <c r="A47" s="6" t="s">
        <v>109</v>
      </c>
      <c r="B47" s="7">
        <v>44443.076923076922</v>
      </c>
      <c r="C47" s="7">
        <v>44443.076923076922</v>
      </c>
      <c r="D47" s="7">
        <v>44443.076923076922</v>
      </c>
      <c r="E47" s="7"/>
      <c r="F47" s="7">
        <v>44443.076923076922</v>
      </c>
    </row>
    <row r="48" spans="1:6" x14ac:dyDescent="0.3">
      <c r="A48" s="8" t="s">
        <v>110</v>
      </c>
      <c r="B48" s="7">
        <v>57480</v>
      </c>
      <c r="C48" s="7">
        <v>57480</v>
      </c>
      <c r="D48" s="7">
        <v>57480</v>
      </c>
      <c r="E48" s="7"/>
      <c r="F48" s="7">
        <v>57480</v>
      </c>
    </row>
    <row r="49" spans="1:6" x14ac:dyDescent="0.3">
      <c r="A49" s="8" t="s">
        <v>111</v>
      </c>
      <c r="B49" s="7">
        <v>55190</v>
      </c>
      <c r="C49" s="7">
        <v>55190</v>
      </c>
      <c r="D49" s="7">
        <v>55190</v>
      </c>
      <c r="E49" s="7"/>
      <c r="F49" s="7">
        <v>55190</v>
      </c>
    </row>
    <row r="50" spans="1:6" x14ac:dyDescent="0.3">
      <c r="A50" s="8" t="s">
        <v>112</v>
      </c>
      <c r="B50" s="7">
        <v>48825</v>
      </c>
      <c r="C50" s="7">
        <v>48825</v>
      </c>
      <c r="D50" s="7">
        <v>48825</v>
      </c>
      <c r="E50" s="7"/>
      <c r="F50" s="7">
        <v>48825</v>
      </c>
    </row>
    <row r="51" spans="1:6" x14ac:dyDescent="0.3">
      <c r="A51" s="8" t="s">
        <v>113</v>
      </c>
      <c r="B51" s="7">
        <v>41530</v>
      </c>
      <c r="C51" s="7">
        <v>41530</v>
      </c>
      <c r="D51" s="7">
        <v>41530</v>
      </c>
      <c r="E51" s="7"/>
      <c r="F51" s="7">
        <v>41530</v>
      </c>
    </row>
    <row r="52" spans="1:6" x14ac:dyDescent="0.3">
      <c r="A52" s="8" t="s">
        <v>114</v>
      </c>
      <c r="B52" s="7">
        <v>40360</v>
      </c>
      <c r="C52" s="7">
        <v>40360</v>
      </c>
      <c r="D52" s="7">
        <v>40360</v>
      </c>
      <c r="E52" s="7"/>
      <c r="F52" s="7">
        <v>40360</v>
      </c>
    </row>
    <row r="53" spans="1:6" x14ac:dyDescent="0.3">
      <c r="A53" s="8" t="s">
        <v>115</v>
      </c>
      <c r="B53" s="7">
        <v>38860</v>
      </c>
      <c r="C53" s="7">
        <v>38860</v>
      </c>
      <c r="D53" s="7">
        <v>38860</v>
      </c>
      <c r="E53" s="7"/>
      <c r="F53" s="7">
        <v>38860</v>
      </c>
    </row>
    <row r="54" spans="1:6" x14ac:dyDescent="0.3">
      <c r="A54" s="8" t="s">
        <v>116</v>
      </c>
      <c r="B54" s="7">
        <v>35375</v>
      </c>
      <c r="C54" s="7">
        <v>35375</v>
      </c>
      <c r="D54" s="7">
        <v>35375</v>
      </c>
      <c r="E54" s="7"/>
      <c r="F54" s="7">
        <v>35375</v>
      </c>
    </row>
    <row r="55" spans="1:6" x14ac:dyDescent="0.3">
      <c r="A55" s="6" t="s">
        <v>48</v>
      </c>
      <c r="B55" s="7">
        <v>70666.666666666672</v>
      </c>
      <c r="C55" s="7">
        <v>71750</v>
      </c>
      <c r="D55" s="7">
        <v>73666.666666666672</v>
      </c>
      <c r="E55" s="7"/>
      <c r="F55" s="7">
        <v>72027.777777777781</v>
      </c>
    </row>
    <row r="56" spans="1:6" x14ac:dyDescent="0.3">
      <c r="A56" s="8" t="s">
        <v>52</v>
      </c>
      <c r="B56" s="7">
        <v>55000</v>
      </c>
      <c r="C56" s="7">
        <v>56000</v>
      </c>
      <c r="D56" s="7">
        <v>58000</v>
      </c>
      <c r="E56" s="7"/>
      <c r="F56" s="7">
        <v>56333.333333333336</v>
      </c>
    </row>
    <row r="57" spans="1:6" x14ac:dyDescent="0.3">
      <c r="A57" s="8" t="s">
        <v>58</v>
      </c>
      <c r="B57" s="7">
        <v>82000</v>
      </c>
      <c r="C57" s="7">
        <v>83000</v>
      </c>
      <c r="D57" s="7">
        <v>85000</v>
      </c>
      <c r="E57" s="7"/>
      <c r="F57" s="7">
        <v>83333.333333333328</v>
      </c>
    </row>
    <row r="58" spans="1:6" x14ac:dyDescent="0.3">
      <c r="A58" s="8" t="s">
        <v>53</v>
      </c>
      <c r="B58" s="7">
        <v>70000</v>
      </c>
      <c r="C58" s="7">
        <v>71000</v>
      </c>
      <c r="D58" s="7">
        <v>72500</v>
      </c>
      <c r="E58" s="7"/>
      <c r="F58" s="7">
        <v>71166.666666666672</v>
      </c>
    </row>
    <row r="59" spans="1:6" x14ac:dyDescent="0.3">
      <c r="A59" s="8" t="s">
        <v>55</v>
      </c>
      <c r="B59" s="7">
        <v>95000</v>
      </c>
      <c r="C59" s="7">
        <v>96000</v>
      </c>
      <c r="D59" s="7">
        <v>98000</v>
      </c>
      <c r="E59" s="7"/>
      <c r="F59" s="7">
        <v>96333.333333333328</v>
      </c>
    </row>
    <row r="60" spans="1:6" x14ac:dyDescent="0.3">
      <c r="A60" s="8" t="s">
        <v>54</v>
      </c>
      <c r="B60" s="7">
        <v>35000</v>
      </c>
      <c r="C60" s="7">
        <v>36000</v>
      </c>
      <c r="D60" s="7">
        <v>38000</v>
      </c>
      <c r="E60" s="7"/>
      <c r="F60" s="7">
        <v>36333.333333333336</v>
      </c>
    </row>
    <row r="61" spans="1:6" x14ac:dyDescent="0.3">
      <c r="A61" s="8" t="s">
        <v>51</v>
      </c>
      <c r="B61" s="7">
        <v>65000</v>
      </c>
      <c r="C61" s="7">
        <v>66000</v>
      </c>
      <c r="D61" s="7">
        <v>67500</v>
      </c>
      <c r="E61" s="7"/>
      <c r="F61" s="7">
        <v>66166.666666666672</v>
      </c>
    </row>
    <row r="62" spans="1:6" x14ac:dyDescent="0.3">
      <c r="A62" s="8" t="s">
        <v>59</v>
      </c>
      <c r="B62" s="7">
        <v>68000</v>
      </c>
      <c r="C62" s="7">
        <v>69000</v>
      </c>
      <c r="D62" s="7">
        <v>71000</v>
      </c>
      <c r="E62" s="7"/>
      <c r="F62" s="7">
        <v>69333.333333333328</v>
      </c>
    </row>
    <row r="63" spans="1:6" x14ac:dyDescent="0.3">
      <c r="A63" s="8" t="s">
        <v>57</v>
      </c>
      <c r="B63" s="7">
        <v>110000</v>
      </c>
      <c r="C63" s="7">
        <v>112000</v>
      </c>
      <c r="D63" s="7">
        <v>115000</v>
      </c>
      <c r="E63" s="7"/>
      <c r="F63" s="7">
        <v>112333.33333333333</v>
      </c>
    </row>
    <row r="64" spans="1:6" x14ac:dyDescent="0.3">
      <c r="A64" s="8" t="s">
        <v>50</v>
      </c>
      <c r="B64" s="7">
        <v>78000</v>
      </c>
      <c r="C64" s="7">
        <v>79000</v>
      </c>
      <c r="D64" s="7">
        <v>81000</v>
      </c>
      <c r="E64" s="7"/>
      <c r="F64" s="7">
        <v>79333.333333333328</v>
      </c>
    </row>
    <row r="65" spans="1:6" x14ac:dyDescent="0.3">
      <c r="A65" s="8" t="s">
        <v>49</v>
      </c>
      <c r="B65" s="7">
        <v>85000</v>
      </c>
      <c r="C65" s="7">
        <v>86000</v>
      </c>
      <c r="D65" s="7">
        <v>87000</v>
      </c>
      <c r="E65" s="7"/>
      <c r="F65" s="7">
        <v>86000</v>
      </c>
    </row>
    <row r="66" spans="1:6" x14ac:dyDescent="0.3">
      <c r="A66" s="8" t="s">
        <v>56</v>
      </c>
      <c r="B66" s="7">
        <v>60000</v>
      </c>
      <c r="C66" s="7">
        <v>61000</v>
      </c>
      <c r="D66" s="7">
        <v>63000</v>
      </c>
      <c r="E66" s="7"/>
      <c r="F66" s="7">
        <v>61333.333333333336</v>
      </c>
    </row>
    <row r="67" spans="1:6" x14ac:dyDescent="0.3">
      <c r="A67" s="8" t="s">
        <v>60</v>
      </c>
      <c r="B67" s="7">
        <v>45000</v>
      </c>
      <c r="C67" s="7">
        <v>46000</v>
      </c>
      <c r="D67" s="7">
        <v>48000</v>
      </c>
      <c r="E67" s="7"/>
      <c r="F67" s="7">
        <v>46333.333333333336</v>
      </c>
    </row>
    <row r="68" spans="1:6" x14ac:dyDescent="0.3">
      <c r="A68" s="6" t="s">
        <v>117</v>
      </c>
      <c r="B68" s="7">
        <v>7750</v>
      </c>
      <c r="C68" s="7">
        <v>7750</v>
      </c>
      <c r="D68" s="7">
        <v>7750</v>
      </c>
      <c r="E68" s="7"/>
      <c r="F68" s="7">
        <v>7750</v>
      </c>
    </row>
    <row r="69" spans="1:6" x14ac:dyDescent="0.3">
      <c r="A69" s="8" t="s">
        <v>118</v>
      </c>
      <c r="B69" s="7">
        <v>2000</v>
      </c>
      <c r="C69" s="7">
        <v>2000</v>
      </c>
      <c r="D69" s="7">
        <v>2000</v>
      </c>
      <c r="E69" s="7"/>
      <c r="F69" s="7">
        <v>2000</v>
      </c>
    </row>
    <row r="70" spans="1:6" x14ac:dyDescent="0.3">
      <c r="A70" s="8" t="s">
        <v>122</v>
      </c>
      <c r="B70" s="7">
        <v>500</v>
      </c>
      <c r="C70" s="7">
        <v>500</v>
      </c>
      <c r="D70" s="7">
        <v>500</v>
      </c>
      <c r="E70" s="7"/>
      <c r="F70" s="7">
        <v>500</v>
      </c>
    </row>
    <row r="71" spans="1:6" x14ac:dyDescent="0.3">
      <c r="A71" s="8" t="s">
        <v>120</v>
      </c>
      <c r="B71" s="7">
        <v>2000</v>
      </c>
      <c r="C71" s="7">
        <v>2000</v>
      </c>
      <c r="D71" s="7">
        <v>2000</v>
      </c>
      <c r="E71" s="7"/>
      <c r="F71" s="7">
        <v>2000</v>
      </c>
    </row>
    <row r="72" spans="1:6" x14ac:dyDescent="0.3">
      <c r="A72" s="8" t="s">
        <v>124</v>
      </c>
      <c r="B72" s="7">
        <v>500</v>
      </c>
      <c r="C72" s="7">
        <v>500</v>
      </c>
      <c r="D72" s="7">
        <v>500</v>
      </c>
      <c r="E72" s="7"/>
      <c r="F72" s="7">
        <v>500</v>
      </c>
    </row>
    <row r="73" spans="1:6" x14ac:dyDescent="0.3">
      <c r="A73" s="8" t="s">
        <v>125</v>
      </c>
      <c r="B73" s="7">
        <v>7000</v>
      </c>
      <c r="C73" s="7">
        <v>7000</v>
      </c>
      <c r="D73" s="7">
        <v>7000</v>
      </c>
      <c r="E73" s="7"/>
      <c r="F73" s="7">
        <v>7000</v>
      </c>
    </row>
    <row r="74" spans="1:6" x14ac:dyDescent="0.3">
      <c r="A74" s="8" t="s">
        <v>121</v>
      </c>
      <c r="B74" s="7">
        <v>25000</v>
      </c>
      <c r="C74" s="7">
        <v>25000</v>
      </c>
      <c r="D74" s="7">
        <v>25000</v>
      </c>
      <c r="E74" s="7"/>
      <c r="F74" s="7">
        <v>25000</v>
      </c>
    </row>
    <row r="75" spans="1:6" x14ac:dyDescent="0.3">
      <c r="A75" s="8" t="s">
        <v>123</v>
      </c>
      <c r="B75" s="7">
        <v>7000</v>
      </c>
      <c r="C75" s="7">
        <v>7000</v>
      </c>
      <c r="D75" s="7">
        <v>7000</v>
      </c>
      <c r="E75" s="7"/>
      <c r="F75" s="7">
        <v>7000</v>
      </c>
    </row>
    <row r="76" spans="1:6" x14ac:dyDescent="0.3">
      <c r="A76" s="8" t="s">
        <v>119</v>
      </c>
      <c r="B76" s="7">
        <v>18000</v>
      </c>
      <c r="C76" s="7">
        <v>18000</v>
      </c>
      <c r="D76" s="7">
        <v>18000</v>
      </c>
      <c r="E76" s="7"/>
      <c r="F76" s="7">
        <v>18000</v>
      </c>
    </row>
    <row r="77" spans="1:6" x14ac:dyDescent="0.3">
      <c r="A77" s="6" t="s">
        <v>12</v>
      </c>
      <c r="B77" s="7">
        <v>8242.8571428571431</v>
      </c>
      <c r="C77" s="7">
        <v>8528.5714285714294</v>
      </c>
      <c r="D77" s="7">
        <v>8714.2857142857138</v>
      </c>
      <c r="E77" s="7"/>
      <c r="F77" s="7">
        <v>8495.2380952380954</v>
      </c>
    </row>
    <row r="78" spans="1:6" x14ac:dyDescent="0.3">
      <c r="A78" s="8" t="s">
        <v>10</v>
      </c>
      <c r="B78" s="7">
        <v>10000</v>
      </c>
      <c r="C78" s="7">
        <v>10200</v>
      </c>
      <c r="D78" s="7">
        <v>10500</v>
      </c>
      <c r="E78" s="7"/>
      <c r="F78" s="7">
        <v>10233.333333333334</v>
      </c>
    </row>
    <row r="79" spans="1:6" x14ac:dyDescent="0.3">
      <c r="A79" s="8" t="s">
        <v>9</v>
      </c>
      <c r="B79" s="7">
        <v>9500</v>
      </c>
      <c r="C79" s="7">
        <v>9800</v>
      </c>
      <c r="D79" s="7">
        <v>10000</v>
      </c>
      <c r="E79" s="7"/>
      <c r="F79" s="7">
        <v>9766.6666666666661</v>
      </c>
    </row>
    <row r="80" spans="1:6" x14ac:dyDescent="0.3">
      <c r="A80" s="8" t="s">
        <v>8</v>
      </c>
      <c r="B80" s="7">
        <v>8200</v>
      </c>
      <c r="C80" s="7">
        <v>8500</v>
      </c>
      <c r="D80" s="7">
        <v>8700</v>
      </c>
      <c r="E80" s="7"/>
      <c r="F80" s="7">
        <v>8466.6666666666661</v>
      </c>
    </row>
    <row r="81" spans="1:6" x14ac:dyDescent="0.3">
      <c r="A81" s="8" t="s">
        <v>7</v>
      </c>
      <c r="B81" s="7">
        <v>8000</v>
      </c>
      <c r="C81" s="7">
        <v>8300</v>
      </c>
      <c r="D81" s="7">
        <v>8500</v>
      </c>
      <c r="E81" s="7"/>
      <c r="F81" s="7">
        <v>8266.6666666666661</v>
      </c>
    </row>
    <row r="82" spans="1:6" x14ac:dyDescent="0.3">
      <c r="A82" s="8" t="s">
        <v>11</v>
      </c>
      <c r="B82" s="7">
        <v>12500</v>
      </c>
      <c r="C82" s="7">
        <v>13000</v>
      </c>
      <c r="D82" s="7">
        <v>13200</v>
      </c>
      <c r="E82" s="7"/>
      <c r="F82" s="7">
        <v>12900</v>
      </c>
    </row>
    <row r="83" spans="1:6" x14ac:dyDescent="0.3">
      <c r="A83" s="8" t="s">
        <v>5</v>
      </c>
      <c r="B83" s="7">
        <v>4500</v>
      </c>
      <c r="C83" s="7">
        <v>4700</v>
      </c>
      <c r="D83" s="7">
        <v>4800</v>
      </c>
      <c r="E83" s="7"/>
      <c r="F83" s="7">
        <v>4666.666666666667</v>
      </c>
    </row>
    <row r="84" spans="1:6" x14ac:dyDescent="0.3">
      <c r="A84" s="8" t="s">
        <v>6</v>
      </c>
      <c r="B84" s="7">
        <v>5000</v>
      </c>
      <c r="C84" s="7">
        <v>5200</v>
      </c>
      <c r="D84" s="7">
        <v>5300</v>
      </c>
      <c r="E84" s="7"/>
      <c r="F84" s="7">
        <v>5166.666666666667</v>
      </c>
    </row>
    <row r="85" spans="1:6" x14ac:dyDescent="0.3">
      <c r="A85" s="6" t="s">
        <v>77</v>
      </c>
      <c r="B85" s="7">
        <v>19548.5</v>
      </c>
      <c r="C85" s="7">
        <v>19548.5</v>
      </c>
      <c r="D85" s="7">
        <v>19548.5</v>
      </c>
      <c r="E85" s="7"/>
      <c r="F85" s="7">
        <v>19548.5</v>
      </c>
    </row>
    <row r="86" spans="1:6" x14ac:dyDescent="0.3">
      <c r="A86" s="8" t="s">
        <v>83</v>
      </c>
      <c r="B86" s="7">
        <v>24000</v>
      </c>
      <c r="C86" s="7">
        <v>24000</v>
      </c>
      <c r="D86" s="7">
        <v>24000</v>
      </c>
      <c r="E86" s="7"/>
      <c r="F86" s="7">
        <v>24000</v>
      </c>
    </row>
    <row r="87" spans="1:6" x14ac:dyDescent="0.3">
      <c r="A87" s="8" t="s">
        <v>86</v>
      </c>
      <c r="B87" s="7">
        <v>8100</v>
      </c>
      <c r="C87" s="7">
        <v>8100</v>
      </c>
      <c r="D87" s="7">
        <v>8100</v>
      </c>
      <c r="E87" s="7"/>
      <c r="F87" s="7">
        <v>8100</v>
      </c>
    </row>
    <row r="88" spans="1:6" x14ac:dyDescent="0.3">
      <c r="A88" s="8" t="s">
        <v>82</v>
      </c>
      <c r="B88" s="7">
        <v>17100</v>
      </c>
      <c r="C88" s="7">
        <v>17100</v>
      </c>
      <c r="D88" s="7">
        <v>17100</v>
      </c>
      <c r="E88" s="7"/>
      <c r="F88" s="7">
        <v>17100</v>
      </c>
    </row>
    <row r="89" spans="1:6" x14ac:dyDescent="0.3">
      <c r="A89" s="8" t="s">
        <v>80</v>
      </c>
      <c r="B89" s="7">
        <v>9100</v>
      </c>
      <c r="C89" s="7">
        <v>9100</v>
      </c>
      <c r="D89" s="7">
        <v>9100</v>
      </c>
      <c r="E89" s="7"/>
      <c r="F89" s="7">
        <v>9100</v>
      </c>
    </row>
    <row r="90" spans="1:6" x14ac:dyDescent="0.3">
      <c r="A90" s="8" t="s">
        <v>78</v>
      </c>
      <c r="B90" s="7">
        <v>8250</v>
      </c>
      <c r="C90" s="7">
        <v>8250</v>
      </c>
      <c r="D90" s="7">
        <v>8250</v>
      </c>
      <c r="E90" s="7"/>
      <c r="F90" s="7">
        <v>8250</v>
      </c>
    </row>
    <row r="91" spans="1:6" x14ac:dyDescent="0.3">
      <c r="A91" s="8" t="s">
        <v>90</v>
      </c>
      <c r="B91" s="7">
        <v>105000</v>
      </c>
      <c r="C91" s="7">
        <v>105000</v>
      </c>
      <c r="D91" s="7">
        <v>105000</v>
      </c>
      <c r="E91" s="7"/>
      <c r="F91" s="7">
        <v>105000</v>
      </c>
    </row>
    <row r="92" spans="1:6" x14ac:dyDescent="0.3">
      <c r="A92" s="8" t="s">
        <v>89</v>
      </c>
      <c r="B92" s="7">
        <v>83000</v>
      </c>
      <c r="C92" s="7">
        <v>83000</v>
      </c>
      <c r="D92" s="7">
        <v>83000</v>
      </c>
      <c r="E92" s="7"/>
      <c r="F92" s="7">
        <v>83000</v>
      </c>
    </row>
    <row r="93" spans="1:6" x14ac:dyDescent="0.3">
      <c r="A93" s="8" t="s">
        <v>88</v>
      </c>
      <c r="B93" s="7">
        <v>72000</v>
      </c>
      <c r="C93" s="7">
        <v>72000</v>
      </c>
      <c r="D93" s="7">
        <v>72000</v>
      </c>
      <c r="E93" s="7"/>
      <c r="F93" s="7">
        <v>72000</v>
      </c>
    </row>
    <row r="94" spans="1:6" x14ac:dyDescent="0.3">
      <c r="A94" s="8" t="s">
        <v>85</v>
      </c>
      <c r="B94" s="7">
        <v>20800</v>
      </c>
      <c r="C94" s="7">
        <v>20800</v>
      </c>
      <c r="D94" s="7">
        <v>20800</v>
      </c>
      <c r="E94" s="7"/>
      <c r="F94" s="7">
        <v>20800</v>
      </c>
    </row>
    <row r="95" spans="1:6" x14ac:dyDescent="0.3">
      <c r="A95" s="8" t="s">
        <v>84</v>
      </c>
      <c r="B95" s="7">
        <v>13670</v>
      </c>
      <c r="C95" s="7">
        <v>13670</v>
      </c>
      <c r="D95" s="7">
        <v>13670</v>
      </c>
      <c r="E95" s="7"/>
      <c r="F95" s="7">
        <v>13670</v>
      </c>
    </row>
    <row r="96" spans="1:6" x14ac:dyDescent="0.3">
      <c r="A96" s="8" t="s">
        <v>81</v>
      </c>
      <c r="B96" s="7">
        <v>11300</v>
      </c>
      <c r="C96" s="7">
        <v>11300</v>
      </c>
      <c r="D96" s="7">
        <v>11300</v>
      </c>
      <c r="E96" s="7"/>
      <c r="F96" s="7">
        <v>11300</v>
      </c>
    </row>
    <row r="97" spans="1:6" x14ac:dyDescent="0.3">
      <c r="A97" s="8" t="s">
        <v>87</v>
      </c>
      <c r="B97" s="7">
        <v>250</v>
      </c>
      <c r="C97" s="7">
        <v>250</v>
      </c>
      <c r="D97" s="7">
        <v>250</v>
      </c>
      <c r="E97" s="7"/>
      <c r="F97" s="7">
        <v>250</v>
      </c>
    </row>
    <row r="98" spans="1:6" x14ac:dyDescent="0.3">
      <c r="A98" s="8" t="s">
        <v>79</v>
      </c>
      <c r="B98" s="7">
        <v>2300</v>
      </c>
      <c r="C98" s="7">
        <v>2300</v>
      </c>
      <c r="D98" s="7">
        <v>2300</v>
      </c>
      <c r="E98" s="7"/>
      <c r="F98" s="7">
        <v>2300</v>
      </c>
    </row>
    <row r="99" spans="1:6" x14ac:dyDescent="0.3">
      <c r="A99" s="6" t="s">
        <v>21</v>
      </c>
      <c r="B99" s="7">
        <v>11275</v>
      </c>
      <c r="C99" s="7">
        <v>11841.666666666666</v>
      </c>
      <c r="D99" s="7">
        <v>12491.666666666666</v>
      </c>
      <c r="E99" s="7"/>
      <c r="F99" s="7">
        <v>11869.444444444445</v>
      </c>
    </row>
    <row r="100" spans="1:6" x14ac:dyDescent="0.3">
      <c r="A100" s="8" t="s">
        <v>29</v>
      </c>
      <c r="B100" s="7">
        <v>10500</v>
      </c>
      <c r="C100" s="7">
        <v>11100</v>
      </c>
      <c r="D100" s="7">
        <v>11800</v>
      </c>
      <c r="E100" s="7"/>
      <c r="F100" s="7">
        <v>11133.333333333334</v>
      </c>
    </row>
    <row r="101" spans="1:6" x14ac:dyDescent="0.3">
      <c r="A101" s="8" t="s">
        <v>22</v>
      </c>
      <c r="B101" s="7">
        <v>16500</v>
      </c>
      <c r="C101" s="7">
        <v>17200</v>
      </c>
      <c r="D101" s="7">
        <v>18000</v>
      </c>
      <c r="E101" s="7"/>
      <c r="F101" s="7">
        <v>17233.333333333332</v>
      </c>
    </row>
    <row r="102" spans="1:6" x14ac:dyDescent="0.3">
      <c r="A102" s="8" t="s">
        <v>23</v>
      </c>
      <c r="B102" s="7">
        <v>24000</v>
      </c>
      <c r="C102" s="7">
        <v>25000</v>
      </c>
      <c r="D102" s="7">
        <v>26200</v>
      </c>
      <c r="E102" s="7"/>
      <c r="F102" s="7">
        <v>25066.666666666668</v>
      </c>
    </row>
    <row r="103" spans="1:6" x14ac:dyDescent="0.3">
      <c r="A103" s="8" t="s">
        <v>28</v>
      </c>
      <c r="B103" s="7">
        <v>7800</v>
      </c>
      <c r="C103" s="7">
        <v>8200</v>
      </c>
      <c r="D103" s="7">
        <v>8700</v>
      </c>
      <c r="E103" s="7"/>
      <c r="F103" s="7">
        <v>8233.3333333333339</v>
      </c>
    </row>
    <row r="104" spans="1:6" x14ac:dyDescent="0.3">
      <c r="A104" s="8" t="s">
        <v>30</v>
      </c>
      <c r="B104" s="7">
        <v>12200</v>
      </c>
      <c r="C104" s="7">
        <v>12900</v>
      </c>
      <c r="D104" s="7">
        <v>13600</v>
      </c>
      <c r="E104" s="7"/>
      <c r="F104" s="7">
        <v>12900</v>
      </c>
    </row>
    <row r="105" spans="1:6" x14ac:dyDescent="0.3">
      <c r="A105" s="8" t="s">
        <v>25</v>
      </c>
      <c r="B105" s="7">
        <v>8500</v>
      </c>
      <c r="C105" s="7">
        <v>8900</v>
      </c>
      <c r="D105" s="7">
        <v>9400</v>
      </c>
      <c r="E105" s="7"/>
      <c r="F105" s="7">
        <v>8933.3333333333339</v>
      </c>
    </row>
    <row r="106" spans="1:6" x14ac:dyDescent="0.3">
      <c r="A106" s="8" t="s">
        <v>24</v>
      </c>
      <c r="B106" s="7">
        <v>11200</v>
      </c>
      <c r="C106" s="7">
        <v>11800</v>
      </c>
      <c r="D106" s="7">
        <v>12500</v>
      </c>
      <c r="E106" s="7"/>
      <c r="F106" s="7">
        <v>11833.333333333334</v>
      </c>
    </row>
    <row r="107" spans="1:6" x14ac:dyDescent="0.3">
      <c r="A107" s="8" t="s">
        <v>17</v>
      </c>
      <c r="B107" s="7">
        <v>9200</v>
      </c>
      <c r="C107" s="7">
        <v>9700</v>
      </c>
      <c r="D107" s="7">
        <v>10300</v>
      </c>
      <c r="E107" s="7"/>
      <c r="F107" s="7">
        <v>9733.3333333333339</v>
      </c>
    </row>
    <row r="108" spans="1:6" x14ac:dyDescent="0.3">
      <c r="A108" s="8" t="s">
        <v>31</v>
      </c>
      <c r="B108" s="7">
        <v>5600</v>
      </c>
      <c r="C108" s="7">
        <v>5900</v>
      </c>
      <c r="D108" s="7">
        <v>6300</v>
      </c>
      <c r="E108" s="7"/>
      <c r="F108" s="7">
        <v>5933.333333333333</v>
      </c>
    </row>
    <row r="109" spans="1:6" x14ac:dyDescent="0.3">
      <c r="A109" s="8" t="s">
        <v>27</v>
      </c>
      <c r="B109" s="7">
        <v>12800</v>
      </c>
      <c r="C109" s="7">
        <v>13500</v>
      </c>
      <c r="D109" s="7">
        <v>14200</v>
      </c>
      <c r="E109" s="7"/>
      <c r="F109" s="7">
        <v>13500</v>
      </c>
    </row>
    <row r="110" spans="1:6" x14ac:dyDescent="0.3">
      <c r="A110" s="8" t="s">
        <v>32</v>
      </c>
      <c r="B110" s="7">
        <v>3500</v>
      </c>
      <c r="C110" s="7">
        <v>3700</v>
      </c>
      <c r="D110" s="7">
        <v>3900</v>
      </c>
      <c r="E110" s="7"/>
      <c r="F110" s="7">
        <v>3700</v>
      </c>
    </row>
    <row r="111" spans="1:6" x14ac:dyDescent="0.3">
      <c r="A111" s="8" t="s">
        <v>26</v>
      </c>
      <c r="B111" s="7">
        <v>13500</v>
      </c>
      <c r="C111" s="7">
        <v>14200</v>
      </c>
      <c r="D111" s="7">
        <v>15000</v>
      </c>
      <c r="E111" s="7"/>
      <c r="F111" s="7">
        <v>14233.333333333334</v>
      </c>
    </row>
    <row r="112" spans="1:6" x14ac:dyDescent="0.3">
      <c r="A112" s="6" t="s">
        <v>33</v>
      </c>
      <c r="B112" s="7">
        <v>209711.11111111112</v>
      </c>
      <c r="C112" s="7">
        <v>219852.77777777778</v>
      </c>
      <c r="D112" s="7">
        <v>230108.33333333334</v>
      </c>
      <c r="E112" s="7"/>
      <c r="F112" s="7">
        <v>219890.74074074073</v>
      </c>
    </row>
    <row r="113" spans="1:6" x14ac:dyDescent="0.3">
      <c r="A113" s="8" t="s">
        <v>44</v>
      </c>
      <c r="B113" s="7">
        <v>85000</v>
      </c>
      <c r="C113" s="7">
        <v>89000</v>
      </c>
      <c r="D113" s="7">
        <v>93500</v>
      </c>
      <c r="E113" s="7"/>
      <c r="F113" s="7">
        <v>89166.666666666672</v>
      </c>
    </row>
    <row r="114" spans="1:6" x14ac:dyDescent="0.3">
      <c r="A114" s="8" t="s">
        <v>38</v>
      </c>
      <c r="B114" s="7">
        <v>32000</v>
      </c>
      <c r="C114" s="7">
        <v>33500</v>
      </c>
      <c r="D114" s="7">
        <v>35000</v>
      </c>
      <c r="E114" s="7"/>
      <c r="F114" s="7">
        <v>33500</v>
      </c>
    </row>
    <row r="115" spans="1:6" x14ac:dyDescent="0.3">
      <c r="A115" s="8" t="s">
        <v>29</v>
      </c>
      <c r="B115" s="7">
        <v>9600</v>
      </c>
      <c r="C115" s="7">
        <v>10100</v>
      </c>
      <c r="D115" s="7">
        <v>10600</v>
      </c>
      <c r="E115" s="7"/>
      <c r="F115" s="7">
        <v>10100</v>
      </c>
    </row>
    <row r="116" spans="1:6" x14ac:dyDescent="0.3">
      <c r="A116" s="8" t="s">
        <v>34</v>
      </c>
      <c r="B116" s="7">
        <v>18500</v>
      </c>
      <c r="C116" s="7">
        <v>19200</v>
      </c>
      <c r="D116" s="7">
        <v>20000</v>
      </c>
      <c r="E116" s="7"/>
      <c r="F116" s="7">
        <v>19233.333333333332</v>
      </c>
    </row>
    <row r="117" spans="1:6" x14ac:dyDescent="0.3">
      <c r="A117" s="8" t="s">
        <v>35</v>
      </c>
      <c r="B117" s="7">
        <v>26000</v>
      </c>
      <c r="C117" s="7">
        <v>27000</v>
      </c>
      <c r="D117" s="7">
        <v>28200</v>
      </c>
      <c r="E117" s="7"/>
      <c r="F117" s="7">
        <v>27066.666666666668</v>
      </c>
    </row>
    <row r="118" spans="1:6" x14ac:dyDescent="0.3">
      <c r="A118" s="8" t="s">
        <v>28</v>
      </c>
      <c r="B118" s="7">
        <v>6900</v>
      </c>
      <c r="C118" s="7">
        <v>7250</v>
      </c>
      <c r="D118" s="7">
        <v>7600</v>
      </c>
      <c r="E118" s="7"/>
      <c r="F118" s="7">
        <v>7250</v>
      </c>
    </row>
    <row r="119" spans="1:6" x14ac:dyDescent="0.3">
      <c r="A119" s="8" t="s">
        <v>37</v>
      </c>
      <c r="B119" s="7">
        <v>650000</v>
      </c>
      <c r="C119" s="7">
        <v>680000</v>
      </c>
      <c r="D119" s="7">
        <v>710000</v>
      </c>
      <c r="E119" s="7"/>
      <c r="F119" s="7">
        <v>680000</v>
      </c>
    </row>
    <row r="120" spans="1:6" x14ac:dyDescent="0.3">
      <c r="A120" s="8" t="s">
        <v>40</v>
      </c>
      <c r="B120" s="7">
        <v>1200000</v>
      </c>
      <c r="C120" s="7">
        <v>1260000</v>
      </c>
      <c r="D120" s="7">
        <v>1320000</v>
      </c>
      <c r="E120" s="7"/>
      <c r="F120" s="7">
        <v>1260000</v>
      </c>
    </row>
    <row r="121" spans="1:6" x14ac:dyDescent="0.3">
      <c r="A121" s="8" t="s">
        <v>36</v>
      </c>
      <c r="B121" s="7">
        <v>850000</v>
      </c>
      <c r="C121" s="7">
        <v>890000</v>
      </c>
      <c r="D121" s="7">
        <v>930000</v>
      </c>
      <c r="E121" s="7"/>
      <c r="F121" s="7">
        <v>890000</v>
      </c>
    </row>
    <row r="122" spans="1:6" x14ac:dyDescent="0.3">
      <c r="A122" s="8" t="s">
        <v>15</v>
      </c>
      <c r="B122" s="7">
        <v>10200</v>
      </c>
      <c r="C122" s="7">
        <v>10700</v>
      </c>
      <c r="D122" s="7">
        <v>11200</v>
      </c>
      <c r="E122" s="7"/>
      <c r="F122" s="7">
        <v>10700</v>
      </c>
    </row>
    <row r="123" spans="1:6" x14ac:dyDescent="0.3">
      <c r="A123" s="8" t="s">
        <v>17</v>
      </c>
      <c r="B123" s="7">
        <v>7800</v>
      </c>
      <c r="C123" s="7">
        <v>8200</v>
      </c>
      <c r="D123" s="7">
        <v>8600</v>
      </c>
      <c r="E123" s="7"/>
      <c r="F123" s="7">
        <v>8200</v>
      </c>
    </row>
    <row r="124" spans="1:6" x14ac:dyDescent="0.3">
      <c r="A124" s="8" t="s">
        <v>46</v>
      </c>
      <c r="B124" s="7">
        <v>95000</v>
      </c>
      <c r="C124" s="7">
        <v>100000</v>
      </c>
      <c r="D124" s="7">
        <v>105000</v>
      </c>
      <c r="E124" s="7"/>
      <c r="F124" s="7">
        <v>100000</v>
      </c>
    </row>
    <row r="125" spans="1:6" x14ac:dyDescent="0.3">
      <c r="A125" s="8" t="s">
        <v>45</v>
      </c>
      <c r="B125" s="7">
        <v>120000</v>
      </c>
      <c r="C125" s="7">
        <v>126000</v>
      </c>
      <c r="D125" s="7">
        <v>132000</v>
      </c>
      <c r="E125" s="7"/>
      <c r="F125" s="7">
        <v>126000</v>
      </c>
    </row>
    <row r="126" spans="1:6" x14ac:dyDescent="0.3">
      <c r="A126" s="8" t="s">
        <v>39</v>
      </c>
      <c r="B126" s="7">
        <v>12500</v>
      </c>
      <c r="C126" s="7">
        <v>13100</v>
      </c>
      <c r="D126" s="7">
        <v>13800</v>
      </c>
      <c r="E126" s="7"/>
      <c r="F126" s="7">
        <v>13133.333333333334</v>
      </c>
    </row>
    <row r="127" spans="1:6" x14ac:dyDescent="0.3">
      <c r="A127" s="8" t="s">
        <v>42</v>
      </c>
      <c r="B127" s="7">
        <v>8500</v>
      </c>
      <c r="C127" s="7">
        <v>8900</v>
      </c>
      <c r="D127" s="7">
        <v>9350</v>
      </c>
      <c r="E127" s="7"/>
      <c r="F127" s="7">
        <v>8916.6666666666661</v>
      </c>
    </row>
    <row r="128" spans="1:6" x14ac:dyDescent="0.3">
      <c r="A128" s="8" t="s">
        <v>41</v>
      </c>
      <c r="B128" s="7">
        <v>180000</v>
      </c>
      <c r="C128" s="7">
        <v>189000</v>
      </c>
      <c r="D128" s="7">
        <v>198000</v>
      </c>
      <c r="E128" s="7"/>
      <c r="F128" s="7">
        <v>189000</v>
      </c>
    </row>
    <row r="129" spans="1:6" x14ac:dyDescent="0.3">
      <c r="A129" s="8" t="s">
        <v>43</v>
      </c>
      <c r="B129" s="7">
        <v>12800</v>
      </c>
      <c r="C129" s="7">
        <v>13400</v>
      </c>
      <c r="D129" s="7">
        <v>14100</v>
      </c>
      <c r="E129" s="7"/>
      <c r="F129" s="7">
        <v>13433.333333333334</v>
      </c>
    </row>
    <row r="130" spans="1:6" x14ac:dyDescent="0.3">
      <c r="A130" s="8" t="s">
        <v>47</v>
      </c>
      <c r="B130" s="7">
        <v>450000</v>
      </c>
      <c r="C130" s="7">
        <v>472000</v>
      </c>
      <c r="D130" s="7">
        <v>495000</v>
      </c>
      <c r="E130" s="7"/>
      <c r="F130" s="7">
        <v>472333.33333333331</v>
      </c>
    </row>
    <row r="131" spans="1:6" x14ac:dyDescent="0.3">
      <c r="A131" s="6" t="s">
        <v>130</v>
      </c>
      <c r="B131" s="7"/>
      <c r="C131" s="7"/>
      <c r="D131" s="7"/>
      <c r="E131" s="7"/>
      <c r="F131" s="7"/>
    </row>
    <row r="132" spans="1:6" x14ac:dyDescent="0.3">
      <c r="A132" s="8" t="s">
        <v>130</v>
      </c>
      <c r="B132" s="7"/>
      <c r="C132" s="7"/>
      <c r="D132" s="7"/>
      <c r="E132" s="7"/>
      <c r="F132" s="7"/>
    </row>
    <row r="133" spans="1:6" x14ac:dyDescent="0.3">
      <c r="A133" s="6" t="s">
        <v>131</v>
      </c>
      <c r="B133" s="7">
        <v>49765.162790697672</v>
      </c>
      <c r="C133" s="7">
        <v>51376.976744186046</v>
      </c>
      <c r="D133" s="7">
        <v>53086.279069767443</v>
      </c>
      <c r="E133" s="7"/>
      <c r="F133" s="7">
        <v>51409.472868217053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Вариант1</vt:lpstr>
      <vt:lpstr>Анализ</vt:lpstr>
      <vt:lpstr>Сравнение компаний по ценам </vt:lpstr>
      <vt:lpstr>Рентабельность_компаний</vt:lpstr>
      <vt:lpstr>Динамика_цен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Сабина</dc:creator>
  <cp:lastModifiedBy>karina</cp:lastModifiedBy>
  <dcterms:created xsi:type="dcterms:W3CDTF">2015-06-05T18:19:34Z</dcterms:created>
  <dcterms:modified xsi:type="dcterms:W3CDTF">2025-11-27T14:32:23Z</dcterms:modified>
</cp:coreProperties>
</file>